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2"/>
  <workbookPr showInkAnnotation="0" autoCompressPictures="0"/>
  <xr:revisionPtr revIDLastSave="1" documentId="11_CF244A5AAAEA4D6584E90B048A38D1753B735DBE" xr6:coauthVersionLast="47" xr6:coauthVersionMax="47" xr10:uidLastSave="{52B1A538-27F7-4566-8270-10E00595D5F9}"/>
  <bookViews>
    <workbookView xWindow="0" yWindow="0" windowWidth="0" windowHeight="0" xr2:uid="{00000000-000D-0000-FFFF-FFFF00000000}"/>
  </bookViews>
  <sheets>
    <sheet name="Aeronaves" sheetId="1" r:id="rId1"/>
    <sheet name="Fuentes" sheetId="2" r:id="rId2"/>
    <sheet name="Guia" sheetId="3" r:id="rId3"/>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49" i="1" l="1"/>
  <c r="D249" i="1"/>
  <c r="F248" i="1"/>
  <c r="D248" i="1"/>
  <c r="F246" i="1"/>
  <c r="D246" i="1"/>
  <c r="F242" i="1"/>
  <c r="D242" i="1"/>
  <c r="F241" i="1"/>
  <c r="D241" i="1"/>
  <c r="F239" i="1"/>
  <c r="D239" i="1"/>
  <c r="F238" i="1"/>
  <c r="D238" i="1"/>
  <c r="F237" i="1"/>
  <c r="D237" i="1"/>
  <c r="F233" i="1"/>
  <c r="D233" i="1"/>
  <c r="F232" i="1"/>
  <c r="D232" i="1"/>
  <c r="F231" i="1"/>
  <c r="D231" i="1"/>
  <c r="F230" i="1"/>
  <c r="D230" i="1"/>
  <c r="F229" i="1"/>
  <c r="D229" i="1"/>
  <c r="F228" i="1"/>
  <c r="D228" i="1"/>
  <c r="F225" i="1"/>
  <c r="D225" i="1"/>
  <c r="F222" i="1"/>
  <c r="D222" i="1"/>
  <c r="F220" i="1"/>
  <c r="D220" i="1"/>
  <c r="F218" i="1"/>
  <c r="D218" i="1"/>
  <c r="F217" i="1"/>
  <c r="D217" i="1"/>
  <c r="F215" i="1"/>
  <c r="D215" i="1"/>
  <c r="F214" i="1"/>
  <c r="D214" i="1"/>
  <c r="F212" i="1"/>
  <c r="D212" i="1"/>
  <c r="F211" i="1"/>
  <c r="D211" i="1"/>
  <c r="F208" i="1"/>
  <c r="D208" i="1"/>
  <c r="F206" i="1"/>
  <c r="D206" i="1"/>
  <c r="F205" i="1"/>
  <c r="D205" i="1"/>
  <c r="F204" i="1"/>
  <c r="D204" i="1"/>
  <c r="F203" i="1"/>
  <c r="D203" i="1"/>
  <c r="F202" i="1"/>
  <c r="D202" i="1"/>
  <c r="F201" i="1"/>
  <c r="D201" i="1"/>
  <c r="F200" i="1"/>
  <c r="D200" i="1"/>
  <c r="F199" i="1"/>
  <c r="D199" i="1"/>
  <c r="F198" i="1"/>
  <c r="D198" i="1"/>
  <c r="F196" i="1"/>
  <c r="D196" i="1"/>
  <c r="F194" i="1"/>
  <c r="D194" i="1"/>
  <c r="F193" i="1"/>
  <c r="D193" i="1"/>
  <c r="F191" i="1"/>
  <c r="D191" i="1"/>
  <c r="F190" i="1"/>
  <c r="D190" i="1"/>
  <c r="F189" i="1"/>
  <c r="D189" i="1"/>
  <c r="F188" i="1"/>
  <c r="D188" i="1"/>
  <c r="F185" i="1"/>
  <c r="D185" i="1"/>
  <c r="F184" i="1"/>
  <c r="D184" i="1"/>
  <c r="F183" i="1"/>
  <c r="D183" i="1"/>
  <c r="F181" i="1"/>
  <c r="D181" i="1"/>
  <c r="F178" i="1"/>
  <c r="D178" i="1"/>
  <c r="F176" i="1"/>
  <c r="D176" i="1"/>
  <c r="F174" i="1"/>
  <c r="D174" i="1"/>
  <c r="F173" i="1"/>
  <c r="D173" i="1"/>
  <c r="F172" i="1"/>
  <c r="D172" i="1"/>
  <c r="F170" i="1"/>
  <c r="D170" i="1"/>
  <c r="F169" i="1"/>
  <c r="D169" i="1"/>
  <c r="F167" i="1"/>
  <c r="D167" i="1"/>
  <c r="F166" i="1"/>
  <c r="D166" i="1"/>
  <c r="F165" i="1"/>
  <c r="D165" i="1"/>
  <c r="F163" i="1"/>
  <c r="D163" i="1"/>
  <c r="F162" i="1"/>
  <c r="D162" i="1"/>
  <c r="F160" i="1"/>
  <c r="D160" i="1"/>
  <c r="F159" i="1"/>
  <c r="D159" i="1"/>
  <c r="F158" i="1"/>
  <c r="D158" i="1"/>
  <c r="F157" i="1"/>
  <c r="D157" i="1"/>
  <c r="F155" i="1"/>
  <c r="D155" i="1"/>
  <c r="F153" i="1"/>
  <c r="D153" i="1"/>
  <c r="F151" i="1"/>
  <c r="D151" i="1"/>
  <c r="F150" i="1"/>
  <c r="D150" i="1"/>
  <c r="F149" i="1"/>
  <c r="D149" i="1"/>
  <c r="F148" i="1"/>
  <c r="D148" i="1"/>
  <c r="F147" i="1"/>
  <c r="D147" i="1"/>
  <c r="F144" i="1"/>
  <c r="D144" i="1"/>
  <c r="F143" i="1"/>
  <c r="D143" i="1"/>
  <c r="F142" i="1"/>
  <c r="D142" i="1"/>
  <c r="F141" i="1"/>
  <c r="D141" i="1"/>
  <c r="F140" i="1"/>
  <c r="D140" i="1"/>
  <c r="F139" i="1"/>
  <c r="D139" i="1"/>
  <c r="F137" i="1"/>
  <c r="D137" i="1"/>
  <c r="F136" i="1"/>
  <c r="D136" i="1"/>
  <c r="F134" i="1"/>
  <c r="D134" i="1"/>
  <c r="F133" i="1"/>
  <c r="D133" i="1"/>
  <c r="F132" i="1"/>
  <c r="D132" i="1"/>
  <c r="F131" i="1"/>
  <c r="D131" i="1"/>
  <c r="F130" i="1"/>
  <c r="D130" i="1"/>
  <c r="F129" i="1"/>
  <c r="D129" i="1"/>
  <c r="F127" i="1"/>
  <c r="D127" i="1"/>
  <c r="F126" i="1"/>
  <c r="D126" i="1"/>
  <c r="F125" i="1"/>
  <c r="D125" i="1"/>
  <c r="F123" i="1"/>
  <c r="D123" i="1"/>
  <c r="F121" i="1"/>
  <c r="D121" i="1"/>
  <c r="F120" i="1"/>
  <c r="D120" i="1"/>
  <c r="F119" i="1"/>
  <c r="D119" i="1"/>
  <c r="F118" i="1"/>
  <c r="D118" i="1"/>
  <c r="F117" i="1"/>
  <c r="D117" i="1"/>
  <c r="F116" i="1"/>
  <c r="D116" i="1"/>
  <c r="F115" i="1"/>
  <c r="D115" i="1"/>
  <c r="F114" i="1"/>
  <c r="D114" i="1"/>
  <c r="F113" i="1"/>
  <c r="D113" i="1"/>
  <c r="F112" i="1"/>
  <c r="D112" i="1"/>
  <c r="F111" i="1"/>
  <c r="D111" i="1"/>
  <c r="F110" i="1"/>
  <c r="D110" i="1"/>
  <c r="F109" i="1"/>
  <c r="D109" i="1"/>
  <c r="F108" i="1"/>
  <c r="D108" i="1"/>
  <c r="F107" i="1"/>
  <c r="D107" i="1"/>
  <c r="F106" i="1"/>
  <c r="D106" i="1"/>
  <c r="F105" i="1"/>
  <c r="D105" i="1"/>
  <c r="F104" i="1"/>
  <c r="D104" i="1"/>
  <c r="F103" i="1"/>
  <c r="D103" i="1"/>
  <c r="F102" i="1"/>
  <c r="D102" i="1"/>
  <c r="F101" i="1"/>
  <c r="D101" i="1"/>
  <c r="F100" i="1"/>
  <c r="D100" i="1"/>
  <c r="F99" i="1"/>
  <c r="D99" i="1"/>
  <c r="F98" i="1"/>
  <c r="D98" i="1"/>
  <c r="F97" i="1"/>
  <c r="D97" i="1"/>
  <c r="F96" i="1"/>
  <c r="D96" i="1"/>
  <c r="F95" i="1"/>
  <c r="D95" i="1"/>
  <c r="F94" i="1"/>
  <c r="D94" i="1"/>
  <c r="F93" i="1"/>
  <c r="D93" i="1"/>
  <c r="F92" i="1"/>
  <c r="D92" i="1"/>
  <c r="F91" i="1"/>
  <c r="D91" i="1"/>
  <c r="F90" i="1"/>
  <c r="D90" i="1"/>
  <c r="F89" i="1"/>
  <c r="D89" i="1"/>
  <c r="F88" i="1"/>
  <c r="D88" i="1"/>
  <c r="F87" i="1"/>
  <c r="D87" i="1"/>
  <c r="F86" i="1"/>
  <c r="D86" i="1"/>
  <c r="F85" i="1"/>
  <c r="D85" i="1"/>
  <c r="F84" i="1"/>
  <c r="D84" i="1"/>
  <c r="F83" i="1"/>
  <c r="D83" i="1"/>
  <c r="F82" i="1"/>
  <c r="D82" i="1"/>
  <c r="F81" i="1"/>
  <c r="D81" i="1"/>
  <c r="F80" i="1"/>
  <c r="D80" i="1"/>
  <c r="F79" i="1"/>
  <c r="D79" i="1"/>
  <c r="F78" i="1"/>
  <c r="D78" i="1"/>
  <c r="F77" i="1"/>
  <c r="D77" i="1"/>
  <c r="F76" i="1"/>
  <c r="D76" i="1"/>
  <c r="F75" i="1"/>
  <c r="D75" i="1"/>
  <c r="F74" i="1"/>
  <c r="D74" i="1"/>
  <c r="F73" i="1"/>
  <c r="D73" i="1"/>
  <c r="F72" i="1"/>
  <c r="D72" i="1"/>
  <c r="F71" i="1"/>
  <c r="D71" i="1"/>
  <c r="F70" i="1"/>
  <c r="D70" i="1"/>
  <c r="F69" i="1"/>
  <c r="D69" i="1"/>
  <c r="F67" i="1"/>
  <c r="D67" i="1"/>
  <c r="F66" i="1"/>
  <c r="D66" i="1"/>
  <c r="F65" i="1"/>
  <c r="D65" i="1"/>
  <c r="F64" i="1"/>
  <c r="D64" i="1"/>
  <c r="F63" i="1"/>
  <c r="D63" i="1"/>
  <c r="F62" i="1"/>
  <c r="D62" i="1"/>
  <c r="F61" i="1"/>
  <c r="D61" i="1"/>
  <c r="F60" i="1"/>
  <c r="D60" i="1"/>
  <c r="F59" i="1"/>
  <c r="D59" i="1"/>
  <c r="F58" i="1"/>
  <c r="D58" i="1"/>
  <c r="F57" i="1"/>
  <c r="D57" i="1"/>
  <c r="F56" i="1"/>
  <c r="D56" i="1"/>
  <c r="F55" i="1"/>
  <c r="D55" i="1"/>
  <c r="F54" i="1"/>
  <c r="D54" i="1"/>
  <c r="F53" i="1"/>
  <c r="D53" i="1"/>
  <c r="F52" i="1"/>
  <c r="D52" i="1"/>
  <c r="F51" i="1"/>
  <c r="D51" i="1"/>
  <c r="F50" i="1"/>
  <c r="D50" i="1"/>
  <c r="F49" i="1"/>
  <c r="D49" i="1"/>
  <c r="F48" i="1"/>
  <c r="D48" i="1"/>
  <c r="F47" i="1"/>
  <c r="D47" i="1"/>
  <c r="F46" i="1"/>
  <c r="D46" i="1"/>
  <c r="F45" i="1"/>
  <c r="D45" i="1"/>
  <c r="F44" i="1"/>
  <c r="D44" i="1"/>
  <c r="F41" i="1"/>
  <c r="D41" i="1"/>
  <c r="F40" i="1"/>
  <c r="D40" i="1"/>
  <c r="F38" i="1"/>
  <c r="D38" i="1"/>
  <c r="F37" i="1"/>
  <c r="D37" i="1"/>
  <c r="F36" i="1"/>
  <c r="D36" i="1"/>
  <c r="F35" i="1"/>
  <c r="D35" i="1"/>
  <c r="F34" i="1"/>
  <c r="D34" i="1"/>
  <c r="F33" i="1"/>
  <c r="D33" i="1"/>
  <c r="F32" i="1"/>
  <c r="D32" i="1"/>
  <c r="F31" i="1"/>
  <c r="D31" i="1"/>
  <c r="F30" i="1"/>
  <c r="D30" i="1"/>
  <c r="F29" i="1"/>
  <c r="D29" i="1"/>
  <c r="F28" i="1"/>
  <c r="D28" i="1"/>
  <c r="F27" i="1"/>
  <c r="D27" i="1"/>
  <c r="F26" i="1"/>
  <c r="D26" i="1"/>
  <c r="F25" i="1"/>
  <c r="D25" i="1"/>
  <c r="F24" i="1"/>
  <c r="D24" i="1"/>
  <c r="F23" i="1"/>
  <c r="D23" i="1"/>
  <c r="F22" i="1"/>
  <c r="D22" i="1"/>
  <c r="F21" i="1"/>
  <c r="D21" i="1"/>
  <c r="F20" i="1"/>
  <c r="D20" i="1"/>
  <c r="F19" i="1"/>
  <c r="D19" i="1"/>
  <c r="F18" i="1"/>
  <c r="D18" i="1"/>
  <c r="F17" i="1"/>
  <c r="D17" i="1"/>
  <c r="F16" i="1"/>
  <c r="D16" i="1"/>
  <c r="F15" i="1"/>
  <c r="D15" i="1"/>
  <c r="F13" i="1"/>
  <c r="D13" i="1"/>
  <c r="F12" i="1"/>
  <c r="D12" i="1"/>
  <c r="F11" i="1"/>
  <c r="D11" i="1"/>
  <c r="F10" i="1"/>
  <c r="D10" i="1"/>
  <c r="F9" i="1"/>
  <c r="D9" i="1"/>
  <c r="F8" i="1"/>
  <c r="D8" i="1"/>
  <c r="F7" i="1"/>
  <c r="D7" i="1"/>
</calcChain>
</file>

<file path=xl/sharedStrings.xml><?xml version="1.0" encoding="utf-8"?>
<sst xmlns="http://schemas.openxmlformats.org/spreadsheetml/2006/main" count="2567" uniqueCount="685">
  <si>
    <t>AERONAVES | Especificaciones disponibles</t>
  </si>
  <si>
    <t>243 filas originales · Consulta: 13 septiembre 2026 · Consulte variantes y fuentes antes de combinar datos</t>
  </si>
  <si>
    <t>BADA: sin acceso a datos licenciados. Celdas vacías = dato no verificado; no equivalen a cero.</t>
  </si>
  <si>
    <t>Código ICAO del CSV</t>
  </si>
  <si>
    <t>Modelo de referencia MTOW</t>
  </si>
  <si>
    <t>Superficie alar pública (m²)</t>
  </si>
  <si>
    <t>MTOW de referencia (kg)</t>
  </si>
  <si>
    <t>Longitud fuselaje OpenAP (m)</t>
  </si>
  <si>
    <t>Longitud total / publicada (m)</t>
  </si>
  <si>
    <t>N.º motores principales</t>
  </si>
  <si>
    <t>Superficie alar BADA (m²)</t>
  </si>
  <si>
    <t>Cobertura</t>
  </si>
  <si>
    <t>A320</t>
  </si>
  <si>
    <t>Airbus A320</t>
  </si>
  <si>
    <t>Con datos</t>
  </si>
  <si>
    <t>E170</t>
  </si>
  <si>
    <t>Embraer 170</t>
  </si>
  <si>
    <t>A346</t>
  </si>
  <si>
    <t>Airbus A340-600</t>
  </si>
  <si>
    <t>B748</t>
  </si>
  <si>
    <t>Boeing 747-8</t>
  </si>
  <si>
    <t>E190</t>
  </si>
  <si>
    <t>Embraer 190</t>
  </si>
  <si>
    <t>A319</t>
  </si>
  <si>
    <t>Airbus A319</t>
  </si>
  <si>
    <t>A339</t>
  </si>
  <si>
    <t>Airbus A330-900</t>
  </si>
  <si>
    <t>CRJX</t>
  </si>
  <si>
    <t>Bombardier CRJ1000</t>
  </si>
  <si>
    <t>A20N</t>
  </si>
  <si>
    <t>Airbus A320 Neo</t>
  </si>
  <si>
    <t>CRJ9</t>
  </si>
  <si>
    <t>canadair CRJ-900</t>
  </si>
  <si>
    <t>A332</t>
  </si>
  <si>
    <t>Airbus A330-200</t>
  </si>
  <si>
    <t>E75L</t>
  </si>
  <si>
    <t>Embraer 175 long wing</t>
  </si>
  <si>
    <t>B77L</t>
  </si>
  <si>
    <t>Boeing 777-200LRF/LR</t>
  </si>
  <si>
    <t>A333</t>
  </si>
  <si>
    <t>Airbus A330-300</t>
  </si>
  <si>
    <t>A21N</t>
  </si>
  <si>
    <t>Airbus A321 Neo</t>
  </si>
  <si>
    <t>A321</t>
  </si>
  <si>
    <t>Airbus A321</t>
  </si>
  <si>
    <t>B77W</t>
  </si>
  <si>
    <t>Boeing 777-300ER</t>
  </si>
  <si>
    <t>BCS3</t>
  </si>
  <si>
    <t>Airbus A220-300</t>
  </si>
  <si>
    <t>B738</t>
  </si>
  <si>
    <t>Boeing 737-800</t>
  </si>
  <si>
    <t>E195</t>
  </si>
  <si>
    <t>Embraer 195</t>
  </si>
  <si>
    <t>B789</t>
  </si>
  <si>
    <t>Boeing 787-9 Dreamliner</t>
  </si>
  <si>
    <t>A343</t>
  </si>
  <si>
    <t>Airbus A340-300</t>
  </si>
  <si>
    <t>A306</t>
  </si>
  <si>
    <t>Airbus A300 B4-600</t>
  </si>
  <si>
    <t>B752</t>
  </si>
  <si>
    <t>Boeing 757-200</t>
  </si>
  <si>
    <t>A359</t>
  </si>
  <si>
    <t>Airbus 350-900</t>
  </si>
  <si>
    <t>B763</t>
  </si>
  <si>
    <t>Boeing 767-300</t>
  </si>
  <si>
    <t>E55P</t>
  </si>
  <si>
    <t>Embraer Phenom 300</t>
  </si>
  <si>
    <t>CL35</t>
  </si>
  <si>
    <t>Bombardier Challenger 350</t>
  </si>
  <si>
    <t>C25B</t>
  </si>
  <si>
    <t>Cessna Citation CJ3</t>
  </si>
  <si>
    <t>B78X</t>
  </si>
  <si>
    <t>Boeing 787-10 Dreamliner</t>
  </si>
  <si>
    <t>B744</t>
  </si>
  <si>
    <t>Boeing 747-400</t>
  </si>
  <si>
    <t>B38M</t>
  </si>
  <si>
    <t>Boeing 737 MAX 8</t>
  </si>
  <si>
    <t>AT72</t>
  </si>
  <si>
    <t>ATR 72-200, opción MTOW</t>
  </si>
  <si>
    <t>B788</t>
  </si>
  <si>
    <t>Boeing 787-8 BBJ/Dreamliner</t>
  </si>
  <si>
    <t>B772</t>
  </si>
  <si>
    <t>Boeing 777-200</t>
  </si>
  <si>
    <t>Pendiente</t>
  </si>
  <si>
    <t>AT76</t>
  </si>
  <si>
    <t>ATR 72-600, opción MTOW</t>
  </si>
  <si>
    <t>A388</t>
  </si>
  <si>
    <t>Airbus A380-800</t>
  </si>
  <si>
    <t>C510</t>
  </si>
  <si>
    <t>Cessna Citation Mustang</t>
  </si>
  <si>
    <t>B753</t>
  </si>
  <si>
    <t>Boeing 757-300</t>
  </si>
  <si>
    <t>C650</t>
  </si>
  <si>
    <t>Cessna III/VI/VII</t>
  </si>
  <si>
    <t>B739</t>
  </si>
  <si>
    <t>Boeing 737-900</t>
  </si>
  <si>
    <t>GA6C</t>
  </si>
  <si>
    <t>Gulfstream Aerospace Gulfstream G7-G600</t>
  </si>
  <si>
    <t>C25C</t>
  </si>
  <si>
    <t>Cessna Citation CJ4</t>
  </si>
  <si>
    <t>E75S</t>
  </si>
  <si>
    <t>Embraer 175 short wing</t>
  </si>
  <si>
    <t>SF34</t>
  </si>
  <si>
    <t>Saab SF 340</t>
  </si>
  <si>
    <t>BCS1</t>
  </si>
  <si>
    <t>Airbus A220-100</t>
  </si>
  <si>
    <t>LJ60</t>
  </si>
  <si>
    <t>Bombardier Learjet 60</t>
  </si>
  <si>
    <t>F900</t>
  </si>
  <si>
    <t>Dassault Falcon 900</t>
  </si>
  <si>
    <t>C680</t>
  </si>
  <si>
    <t>Cessna Citation Sovereign</t>
  </si>
  <si>
    <t>PRM1</t>
  </si>
  <si>
    <t>Raytheon Premier 1/390 Premier 1</t>
  </si>
  <si>
    <t>C55B</t>
  </si>
  <si>
    <t>Cessna Citation Bravo</t>
  </si>
  <si>
    <t>E295</t>
  </si>
  <si>
    <t>Embraer 195-E2</t>
  </si>
  <si>
    <t>C56X</t>
  </si>
  <si>
    <t>Cessna Excel/XLS</t>
  </si>
  <si>
    <t>H25B</t>
  </si>
  <si>
    <t>BAe HS 125/700-800/Hawker 800</t>
  </si>
  <si>
    <t>MD11</t>
  </si>
  <si>
    <t>Boeing (Douglas) MD 11</t>
  </si>
  <si>
    <t>F2TH</t>
  </si>
  <si>
    <t>Dassault Falcon 2000</t>
  </si>
  <si>
    <t>DH8D</t>
  </si>
  <si>
    <t>DeHavilland Canada 8/DHC8-400</t>
  </si>
  <si>
    <t>C25A</t>
  </si>
  <si>
    <t>Cessna Citation CJ2</t>
  </si>
  <si>
    <t>C68A</t>
  </si>
  <si>
    <t>Cessna Citation Latitude</t>
  </si>
  <si>
    <t>LJ45</t>
  </si>
  <si>
    <t>Bombardier Learjet 45</t>
  </si>
  <si>
    <t>BE4W</t>
  </si>
  <si>
    <t>E35L</t>
  </si>
  <si>
    <t>Embraer 135BJ Legacy 600</t>
  </si>
  <si>
    <t>PC12</t>
  </si>
  <si>
    <t>Pilatus PC-12</t>
  </si>
  <si>
    <t>PC24</t>
  </si>
  <si>
    <t>Pilatus PC-24</t>
  </si>
  <si>
    <t>CL60</t>
  </si>
  <si>
    <t>Canadair Challenger 600/601/604</t>
  </si>
  <si>
    <t>GLEX</t>
  </si>
  <si>
    <t>Bombardier BD-700 Global Express</t>
  </si>
  <si>
    <t>B737</t>
  </si>
  <si>
    <t>Boeing 737-700</t>
  </si>
  <si>
    <t>B39M</t>
  </si>
  <si>
    <t>Boeing 737 MAX 9</t>
  </si>
  <si>
    <t>G280</t>
  </si>
  <si>
    <t>Gulfstream G280</t>
  </si>
  <si>
    <t>GL5T</t>
  </si>
  <si>
    <t>Bombardier BD-700 Global 5000</t>
  </si>
  <si>
    <t>GALX</t>
  </si>
  <si>
    <t>IAI 1126 Galaxy/Gulfstream G200</t>
  </si>
  <si>
    <t>J328</t>
  </si>
  <si>
    <t>Fairchild Dornier 328 Jet</t>
  </si>
  <si>
    <t>C25M</t>
  </si>
  <si>
    <t>Cessna Citation M2</t>
  </si>
  <si>
    <t>BE40</t>
  </si>
  <si>
    <t>Raytheon/Beech Beechjet 400/T-1 Jayhawk</t>
  </si>
  <si>
    <t>CRJ2</t>
  </si>
  <si>
    <t>canadair CRJ-200</t>
  </si>
  <si>
    <t>B734</t>
  </si>
  <si>
    <t>Boeing 737-400</t>
  </si>
  <si>
    <t>P180</t>
  </si>
  <si>
    <t>Piaggio P-180 Avanti</t>
  </si>
  <si>
    <t>B736</t>
  </si>
  <si>
    <t>Boeing 737-600</t>
  </si>
  <si>
    <t>GLF6</t>
  </si>
  <si>
    <t>Gulfstream G650</t>
  </si>
  <si>
    <t>CL30</t>
  </si>
  <si>
    <t>Bombardier (Canadair) Challenger 300</t>
  </si>
  <si>
    <t>E290</t>
  </si>
  <si>
    <t>Embraer 190-E2</t>
  </si>
  <si>
    <t>C700</t>
  </si>
  <si>
    <t>Cessna Citation Longitude</t>
  </si>
  <si>
    <t>D328</t>
  </si>
  <si>
    <t>Dornier 328 Series</t>
  </si>
  <si>
    <t>FA8X</t>
  </si>
  <si>
    <t>Dassault Falcon 8X</t>
  </si>
  <si>
    <t>E550</t>
  </si>
  <si>
    <t>Legacy 500/Praetor 600</t>
  </si>
  <si>
    <t>GL7T</t>
  </si>
  <si>
    <t>Bombardier BD-700 Global 7500</t>
  </si>
  <si>
    <t>B190</t>
  </si>
  <si>
    <t>Beech 1900/C-12J</t>
  </si>
  <si>
    <t>A310</t>
  </si>
  <si>
    <t>Airbus A310</t>
  </si>
  <si>
    <t>C525</t>
  </si>
  <si>
    <t>Cessna CitationJet/CJ1</t>
  </si>
  <si>
    <t>H25C</t>
  </si>
  <si>
    <t>BAe/Raytheon HS 125-1000</t>
  </si>
  <si>
    <t>GLF5</t>
  </si>
  <si>
    <t>Gulfstream V</t>
  </si>
  <si>
    <t>FA7X</t>
  </si>
  <si>
    <t>Dassault Falcon 7X</t>
  </si>
  <si>
    <t>GLF4</t>
  </si>
  <si>
    <t>Gulfstream IV/G400</t>
  </si>
  <si>
    <t>BE20</t>
  </si>
  <si>
    <t>Beech 200 Super King</t>
  </si>
  <si>
    <t>TBM7</t>
  </si>
  <si>
    <t>Socata TBM-700/700A</t>
  </si>
  <si>
    <t>PAY3</t>
  </si>
  <si>
    <t>Piper PA-42-720 Cheyenne 3</t>
  </si>
  <si>
    <t>C425</t>
  </si>
  <si>
    <t>Cessna 425 Corsair</t>
  </si>
  <si>
    <t>B762</t>
  </si>
  <si>
    <t>Boeing 767-200</t>
  </si>
  <si>
    <t>B764</t>
  </si>
  <si>
    <t>Boeing 767-400</t>
  </si>
  <si>
    <t>LJ35</t>
  </si>
  <si>
    <t>Bombardier Learjet 35/36</t>
  </si>
  <si>
    <t>A345</t>
  </si>
  <si>
    <t>Airbus A340-500</t>
  </si>
  <si>
    <t>LJ55</t>
  </si>
  <si>
    <t>Bombardier Learjet 55</t>
  </si>
  <si>
    <t>E135</t>
  </si>
  <si>
    <t>Embraer ERJ 135/140/Legacy</t>
  </si>
  <si>
    <t>A337</t>
  </si>
  <si>
    <t>Airbus A330-700 - Beluga XL</t>
  </si>
  <si>
    <t>A19N</t>
  </si>
  <si>
    <t>Airbus A319 Neo</t>
  </si>
  <si>
    <t>A35K</t>
  </si>
  <si>
    <t>Airbus A350-1000 XWB</t>
  </si>
  <si>
    <t>C560</t>
  </si>
  <si>
    <t>Cessna Citation V/Ultra/Encore</t>
  </si>
  <si>
    <t>B350</t>
  </si>
  <si>
    <t>Beech Super King Air 350</t>
  </si>
  <si>
    <t>GA5C</t>
  </si>
  <si>
    <t>Gulfstream Aerospace Gulfstream G7-G500</t>
  </si>
  <si>
    <t>E145</t>
  </si>
  <si>
    <t>Embraer ERJ-145</t>
  </si>
  <si>
    <t>HA4T</t>
  </si>
  <si>
    <t>Hawker 4000</t>
  </si>
  <si>
    <t>SB20</t>
  </si>
  <si>
    <t>Saab 2000</t>
  </si>
  <si>
    <t>A318</t>
  </si>
  <si>
    <t>Airbus A318</t>
  </si>
  <si>
    <t>LJ75</t>
  </si>
  <si>
    <t>Learjet 75</t>
  </si>
  <si>
    <t>C27J</t>
  </si>
  <si>
    <t>LJ40</t>
  </si>
  <si>
    <t>Learjet 40</t>
  </si>
  <si>
    <t>F100</t>
  </si>
  <si>
    <t>Fokker 100</t>
  </si>
  <si>
    <t>SF50</t>
  </si>
  <si>
    <t>Cirrus Vision SF50</t>
  </si>
  <si>
    <t>C340</t>
  </si>
  <si>
    <t>Cessna 340</t>
  </si>
  <si>
    <t>AT45</t>
  </si>
  <si>
    <t>ATR 42-500</t>
  </si>
  <si>
    <t>ZZZZ</t>
  </si>
  <si>
    <t>E50P</t>
  </si>
  <si>
    <t>Embraer 500 Phenom 100</t>
  </si>
  <si>
    <t>DA42</t>
  </si>
  <si>
    <t>Diamond Twin Star</t>
  </si>
  <si>
    <t>SW4</t>
  </si>
  <si>
    <t>Swearingen SA-227AT Merlin 4</t>
  </si>
  <si>
    <t>C17</t>
  </si>
  <si>
    <t>Boeing Globemaster 3</t>
  </si>
  <si>
    <t>ASTR</t>
  </si>
  <si>
    <t>IAI Astra 1125</t>
  </si>
  <si>
    <t>C550</t>
  </si>
  <si>
    <t>Cessna Citation II/Bravo</t>
  </si>
  <si>
    <t>GA7C</t>
  </si>
  <si>
    <t>Gulfstream G700</t>
  </si>
  <si>
    <t>BE9L</t>
  </si>
  <si>
    <t>Beech King Air 90</t>
  </si>
  <si>
    <t>SR20</t>
  </si>
  <si>
    <t>Cirrus SR-20</t>
  </si>
  <si>
    <t>A139</t>
  </si>
  <si>
    <t>Leonardo AW139, opción 7000 kg</t>
  </si>
  <si>
    <t>B733</t>
  </si>
  <si>
    <t>Boeing 737-300</t>
  </si>
  <si>
    <t>S22T</t>
  </si>
  <si>
    <t>Cirrus SR-22 Turbo</t>
  </si>
  <si>
    <t>HDJT</t>
  </si>
  <si>
    <t>HONDA HA-420 HondaJet</t>
  </si>
  <si>
    <t>DH8A</t>
  </si>
  <si>
    <t>DeHavilland Canada DHC8-100</t>
  </si>
  <si>
    <t>AT43</t>
  </si>
  <si>
    <t>ATR 42-300/320</t>
  </si>
  <si>
    <t>A338</t>
  </si>
  <si>
    <t>Airbus A330-800</t>
  </si>
  <si>
    <t>AT75</t>
  </si>
  <si>
    <t>ATR 72-500, opción 2 MTOW</t>
  </si>
  <si>
    <t>E121</t>
  </si>
  <si>
    <t>Embraer EMB-121 Xingu</t>
  </si>
  <si>
    <t>FA50</t>
  </si>
  <si>
    <t>Dassault Falcon/Mystère 50</t>
  </si>
  <si>
    <t>TBM9</t>
  </si>
  <si>
    <t>Socata TBM-900</t>
  </si>
  <si>
    <t>IL76</t>
  </si>
  <si>
    <t>Ilyushin IL 76</t>
  </si>
  <si>
    <t>B742</t>
  </si>
  <si>
    <t>Boeing 747-200</t>
  </si>
  <si>
    <t>A400</t>
  </si>
  <si>
    <t>Airbus A400M Atlas</t>
  </si>
  <si>
    <t>M600</t>
  </si>
  <si>
    <t>Piper M600</t>
  </si>
  <si>
    <t>FA10</t>
  </si>
  <si>
    <t>Dassault Falcon/Mystère 10</t>
  </si>
  <si>
    <t>DA62</t>
  </si>
  <si>
    <t>Diamond DA62 (MTOM 2300 kg)</t>
  </si>
  <si>
    <t>C421</t>
  </si>
  <si>
    <t>Cessna Golden Eagle 421</t>
  </si>
  <si>
    <t>FA6X</t>
  </si>
  <si>
    <t>Dassault Falcon 6X</t>
  </si>
  <si>
    <t>BE60</t>
  </si>
  <si>
    <t>Beech 60 Duke</t>
  </si>
  <si>
    <t>DA40</t>
  </si>
  <si>
    <t>Diamond Star DA40</t>
  </si>
  <si>
    <t>SR22</t>
  </si>
  <si>
    <t>Cirrus SR 22</t>
  </si>
  <si>
    <t>PAY2</t>
  </si>
  <si>
    <t>Piper Cheyenne 2</t>
  </si>
  <si>
    <t>AS32</t>
  </si>
  <si>
    <t>Super Puma</t>
  </si>
  <si>
    <t>COL4</t>
  </si>
  <si>
    <t>Lancair LC-41 Columbia 400</t>
  </si>
  <si>
    <t>A342</t>
  </si>
  <si>
    <t>Airbus A340-200</t>
  </si>
  <si>
    <t>VTOR</t>
  </si>
  <si>
    <t>PA34</t>
  </si>
  <si>
    <t>Piper PA-34 Seneca</t>
  </si>
  <si>
    <t>MD83</t>
  </si>
  <si>
    <t>Boeing (Douglas) MD 83</t>
  </si>
  <si>
    <t>SU95</t>
  </si>
  <si>
    <t>SUKHOI Superjet 100-95</t>
  </si>
  <si>
    <t>C10T</t>
  </si>
  <si>
    <t>AN12</t>
  </si>
  <si>
    <t>Antonov AN-12</t>
  </si>
  <si>
    <t>C208</t>
  </si>
  <si>
    <t>Cessna 208 Caravan 1</t>
  </si>
  <si>
    <t>R90R</t>
  </si>
  <si>
    <t>A30B</t>
  </si>
  <si>
    <t>Airbus A300-B2</t>
  </si>
  <si>
    <t>E545</t>
  </si>
  <si>
    <t>Embraer EMB-545 Legacy 450</t>
  </si>
  <si>
    <t>B735</t>
  </si>
  <si>
    <t>Boeing 737-500</t>
  </si>
  <si>
    <t>T204</t>
  </si>
  <si>
    <t>Tupolev Tu-204</t>
  </si>
  <si>
    <t>EA50</t>
  </si>
  <si>
    <t>Eclipse 500</t>
  </si>
  <si>
    <t>M28</t>
  </si>
  <si>
    <t>C551</t>
  </si>
  <si>
    <t>Cessna Citation II/SP</t>
  </si>
  <si>
    <t>RJ70</t>
  </si>
  <si>
    <t>Avro RJ70 (referencia FAST)</t>
  </si>
  <si>
    <t>AN26</t>
  </si>
  <si>
    <t>Antonov An-26</t>
  </si>
  <si>
    <t>P46T</t>
  </si>
  <si>
    <t>Piper Malibu Meridian</t>
  </si>
  <si>
    <t>C295</t>
  </si>
  <si>
    <t>Airbus C295</t>
  </si>
  <si>
    <t>E120</t>
  </si>
  <si>
    <t>Embraer Brasilia EMB 120</t>
  </si>
  <si>
    <t>B773</t>
  </si>
  <si>
    <t>Boeing 777-300</t>
  </si>
  <si>
    <t>C130</t>
  </si>
  <si>
    <t>Lockheed 130 Hercules</t>
  </si>
  <si>
    <t>B58T</t>
  </si>
  <si>
    <t>A109</t>
  </si>
  <si>
    <t>Agusta A109</t>
  </si>
  <si>
    <t>LJ31</t>
  </si>
  <si>
    <t>Bombardier Learjet 31</t>
  </si>
  <si>
    <t>TBM8</t>
  </si>
  <si>
    <t>Socata TBM-850</t>
  </si>
  <si>
    <t>P210</t>
  </si>
  <si>
    <t>Riley Super P210</t>
  </si>
  <si>
    <t>C750</t>
  </si>
  <si>
    <t>Cessna Citation X</t>
  </si>
  <si>
    <t>B429</t>
  </si>
  <si>
    <t>Bell 429, configuración estándar</t>
  </si>
  <si>
    <t>DH8B</t>
  </si>
  <si>
    <t>DeHavilland Canada DHC8-200</t>
  </si>
  <si>
    <t>BE58</t>
  </si>
  <si>
    <t>Beech 58 Baron</t>
  </si>
  <si>
    <t>K100</t>
  </si>
  <si>
    <t>PA31</t>
  </si>
  <si>
    <t>Piper Navajo PA-31</t>
  </si>
  <si>
    <t>AS3B</t>
  </si>
  <si>
    <t>B732</t>
  </si>
  <si>
    <t>Boeing 737-200/VC96</t>
  </si>
  <si>
    <t>JS32</t>
  </si>
  <si>
    <t>BAe Jetstream super 31</t>
  </si>
  <si>
    <t>DHC6</t>
  </si>
  <si>
    <t>DeHavilland Canada Twin Otter</t>
  </si>
  <si>
    <t>A124</t>
  </si>
  <si>
    <t>Antonov AN-124 Ruslan</t>
  </si>
  <si>
    <t>P28A</t>
  </si>
  <si>
    <t>Piper Cherokee</t>
  </si>
  <si>
    <t>BE55</t>
  </si>
  <si>
    <t>Beech Baron 55</t>
  </si>
  <si>
    <t>FA20</t>
  </si>
  <si>
    <t>Dassault Falcon/Mystère 20</t>
  </si>
  <si>
    <t>C30J</t>
  </si>
  <si>
    <t>C-130J Super Hercules ; Lockheed</t>
  </si>
  <si>
    <t>AT46</t>
  </si>
  <si>
    <t>ATR 42-600</t>
  </si>
  <si>
    <t>IL96</t>
  </si>
  <si>
    <t>Ilyushin Il-96-300</t>
  </si>
  <si>
    <t>C501</t>
  </si>
  <si>
    <t>Cessna 1SP</t>
  </si>
  <si>
    <t>M700</t>
  </si>
  <si>
    <t>Piper M700 Fury</t>
  </si>
  <si>
    <t>A148</t>
  </si>
  <si>
    <t>MU2</t>
  </si>
  <si>
    <t>Mitsubishi Marquise/Solitaire</t>
  </si>
  <si>
    <t>PA46</t>
  </si>
  <si>
    <t>Piper Malibu</t>
  </si>
  <si>
    <t>GLAS</t>
  </si>
  <si>
    <t>C206</t>
  </si>
  <si>
    <t>Cessna 206 Stationair</t>
  </si>
  <si>
    <t>C182</t>
  </si>
  <si>
    <t>Cessna Skylane 182</t>
  </si>
  <si>
    <t>H60</t>
  </si>
  <si>
    <t>Sikorsky H-60</t>
  </si>
  <si>
    <t>C414</t>
  </si>
  <si>
    <t>Cessna Chancellor 414</t>
  </si>
  <si>
    <t>M20P</t>
  </si>
  <si>
    <t>Mooney M-20C Ranger</t>
  </si>
  <si>
    <t>A743</t>
  </si>
  <si>
    <t>BE30</t>
  </si>
  <si>
    <t>Raytheon 300 Super King Air</t>
  </si>
  <si>
    <t>EC25</t>
  </si>
  <si>
    <t>Airbus H225, carga interna</t>
  </si>
  <si>
    <t>SW3</t>
  </si>
  <si>
    <t>Fairchild Swearingen SA-226T/TB Merlin 3</t>
  </si>
  <si>
    <t>DA50</t>
  </si>
  <si>
    <t>Diamond DA50 RG</t>
  </si>
  <si>
    <t>AT73</t>
  </si>
  <si>
    <t>ATR 72-210, opción MTOW</t>
  </si>
  <si>
    <t>G150</t>
  </si>
  <si>
    <t>Gulfstream G150</t>
  </si>
  <si>
    <t>C82S</t>
  </si>
  <si>
    <t>L410</t>
  </si>
  <si>
    <t>Let L-410 / L-420</t>
  </si>
  <si>
    <t>M20T</t>
  </si>
  <si>
    <t>Mooney M20K Encore/M20M Bravo</t>
  </si>
  <si>
    <t>KODI</t>
  </si>
  <si>
    <t>Quest Kodiak</t>
  </si>
  <si>
    <t>C82R</t>
  </si>
  <si>
    <t>Cessna Skylane RG</t>
  </si>
  <si>
    <t>BE33</t>
  </si>
  <si>
    <t>Beech Bonanza 33</t>
  </si>
  <si>
    <t>GLF3</t>
  </si>
  <si>
    <t>Gulfstream III</t>
  </si>
  <si>
    <t>PA24</t>
  </si>
  <si>
    <t>Piper PA-24 Comanche</t>
  </si>
  <si>
    <t>C408</t>
  </si>
  <si>
    <t>Cessna SkyCourier Passenger</t>
  </si>
  <si>
    <t>F70</t>
  </si>
  <si>
    <t>Fokker 70</t>
  </si>
  <si>
    <t>BR23</t>
  </si>
  <si>
    <t>P32R</t>
  </si>
  <si>
    <t>Piper PA-32R Lance/ Saratoga SP</t>
  </si>
  <si>
    <t>T210</t>
  </si>
  <si>
    <t>Cessna T210 Turbo Centurion</t>
  </si>
  <si>
    <t>DH8C</t>
  </si>
  <si>
    <t>DeHavilland Canada Dash 8/DHC8-300</t>
  </si>
  <si>
    <t>PC6T</t>
  </si>
  <si>
    <t>Pilatus PC-6 Turbo Porter</t>
  </si>
  <si>
    <t>A10</t>
  </si>
  <si>
    <t>Fairchild A10</t>
  </si>
  <si>
    <t>PAY1</t>
  </si>
  <si>
    <t>Piper Cheyenne 1</t>
  </si>
  <si>
    <t>D228</t>
  </si>
  <si>
    <t>Dornier 228-212</t>
  </si>
  <si>
    <t>GA8C</t>
  </si>
  <si>
    <t>Gulfstream G800</t>
  </si>
  <si>
    <t>E390</t>
  </si>
  <si>
    <t>CRJ7</t>
  </si>
  <si>
    <t>canadair CRJ-700</t>
  </si>
  <si>
    <t>A189</t>
  </si>
  <si>
    <t>P68</t>
  </si>
  <si>
    <t>Vulcan Air P68</t>
  </si>
  <si>
    <t>MD87</t>
  </si>
  <si>
    <t>Boeing (Douglas) MD 87</t>
  </si>
  <si>
    <t>TRAZABILIDAD | Fuentes por campo</t>
  </si>
  <si>
    <t>Una fila por registro original · Los enlaces identifican la fuente exacta utilizada en cada campo</t>
  </si>
  <si>
    <t>Código del CSV</t>
  </si>
  <si>
    <t>Variante superficie alar</t>
  </si>
  <si>
    <t>Origen superficie alar</t>
  </si>
  <si>
    <t>URL superficie alar</t>
  </si>
  <si>
    <t>URL MTOW</t>
  </si>
  <si>
    <t>URL longitud publicada</t>
  </si>
  <si>
    <t>URL motores</t>
  </si>
  <si>
    <t>URL fuselaje OpenAP</t>
  </si>
  <si>
    <t>FAA MTOW original (lb)</t>
  </si>
  <si>
    <t>FAA longitud original (ft)</t>
  </si>
  <si>
    <t>Definición longitud</t>
  </si>
  <si>
    <t>Observaciones</t>
  </si>
  <si>
    <t>OpenAP: parámetro wing.area (no BADA)</t>
  </si>
  <si>
    <t>https://github.com/junzis/openap/blob/master/openap/data/aircraft/a320.yml</t>
  </si>
  <si>
    <t>https://www.faa.gov/airports/engineering/aircraft_char_database/aircraft_data</t>
  </si>
  <si>
    <t>Longitud total (FAA)</t>
  </si>
  <si>
    <t>FAA ACD octubre 2024: configuración de referencia, no máximo entre todas las variantes. AAC validated by Flight Standardization Board (FSB) report.</t>
  </si>
  <si>
    <t>Embraer E170</t>
  </si>
  <si>
    <t>https://github.com/junzis/openap/blob/master/openap/data/aircraft/e170.yml</t>
  </si>
  <si>
    <t>No disponible</t>
  </si>
  <si>
    <t>FAA ACD octubre 2024: configuración de referencia, no máximo entre todas las variantes.</t>
  </si>
  <si>
    <t>https://github.com/junzis/openap/blob/master/openap/data/aircraft/b748.yml</t>
  </si>
  <si>
    <t>Embraer E190 (LR)</t>
  </si>
  <si>
    <t>https://github.com/junzis/openap/blob/master/openap/data/aircraft/e190.yml</t>
  </si>
  <si>
    <t>https://github.com/junzis/openap/blob/master/openap/data/aircraft/a319.yml</t>
  </si>
  <si>
    <t>https://contentzone.eurocontrol.int/aircraftperformance/details.aspx?ICAO=CRJX</t>
  </si>
  <si>
    <t>Longitud publicada; definición no desglosada</t>
  </si>
  <si>
    <t>EUROCONTROL Aircraft Performance Database pública; no es la base BADA licenciada.</t>
  </si>
  <si>
    <t>Airbus A320neo</t>
  </si>
  <si>
    <t>https://github.com/junzis/openap/blob/master/openap/data/aircraft/a20n.yml</t>
  </si>
  <si>
    <t>BOMBARDIER CRJ9</t>
  </si>
  <si>
    <t>https://github.com/junzis/openap/blob/master/openap/data/aircraft/crj9.yml</t>
  </si>
  <si>
    <t>FAA ACD octubre 2024: configuración de referencia, no máximo entre todas las variantes. Long Range version has an increased MALW, such that CRJ9 approach Category falls into D. AAC validated by Flight Standardization Board (FSB) report.</t>
  </si>
  <si>
    <t>https://github.com/junzis/openap/blob/master/openap/data/aircraft/a332.yml</t>
  </si>
  <si>
    <t>Embraer E175 (LR)</t>
  </si>
  <si>
    <t>https://github.com/junzis/openap/blob/master/openap/data/aircraft/e75l.yml</t>
  </si>
  <si>
    <t>https://github.com/junzis/openap/blob/master/openap/data/aircraft/a333.yml</t>
  </si>
  <si>
    <t>Airbus A321neo</t>
  </si>
  <si>
    <t>https://github.com/junzis/openap/blob/master/openap/data/aircraft/a21n.yml</t>
  </si>
  <si>
    <t>https://github.com/junzis/openap/blob/master/openap/data/aircraft/a321.yml</t>
  </si>
  <si>
    <t>FAA ACD octubre 2024: configuración de referencia, no máximo entre todas las variantes. The final approach speed is 140 knot at a MALW of 166,449 lb and classifies the aircraft into the AAC C while approach speed is 142 knot at a MALW of 171,520 lb and classifies into the AAC D.  AAC validated by Flight Standardization Board (FSB) report.</t>
  </si>
  <si>
    <t>https://github.com/junzis/openap/blob/master/openap/data/aircraft/b77w.yml</t>
  </si>
  <si>
    <t>https://github.com/junzis/openap/blob/master/openap/data/aircraft/b738.yml</t>
  </si>
  <si>
    <t>FAA ACD octubre 2024: configuración de referencia, no máximo entre todas las variantes. Depending on flaps configuration and MALW, AAC could be C. AAC validated by Flight Standardization Board (FSB) report.</t>
  </si>
  <si>
    <t>Embraer E195 (LR)</t>
  </si>
  <si>
    <t>https://github.com/junzis/openap/blob/master/openap/data/aircraft/e195.yml</t>
  </si>
  <si>
    <t>Boeing 787-9</t>
  </si>
  <si>
    <t>https://github.com/junzis/openap/blob/master/openap/data/aircraft/b789.yml</t>
  </si>
  <si>
    <t>FAA ACD octubre 2024: configuración de referencia, no máximo entre todas las variantes. Depending on configurations and performance packages, AAC could be C. AAC validated by Flight Standardization Board (FSB) report.</t>
  </si>
  <si>
    <t>https://github.com/junzis/openap/blob/master/openap/data/aircraft/a343.yml</t>
  </si>
  <si>
    <t>https://github.com/junzis/openap/blob/master/openap/data/aircraft/b752.yml</t>
  </si>
  <si>
    <t>Airbus A350-900</t>
  </si>
  <si>
    <t>https://github.com/junzis/openap/blob/master/openap/data/aircraft/a359.yml</t>
  </si>
  <si>
    <t>https://github.com/junzis/openap/blob/master/openap/data/aircraft/b763.yml</t>
  </si>
  <si>
    <t>Citation CJ3 Gen3</t>
  </si>
  <si>
    <t>Fabricante: Wing Area</t>
  </si>
  <si>
    <t>https://cessna.txtav.com/en/citation/cj3-gen2</t>
  </si>
  <si>
    <t>FAA ACD octubre 2024: configuración de referencia, no máximo entre todas las variantes. Approach speed estimated by Virginia Tech.</t>
  </si>
  <si>
    <t>https://github.com/junzis/openap/blob/master/openap/data/aircraft/b744.yml</t>
  </si>
  <si>
    <t>https://github.com/junzis/openap/blob/master/openap/data/aircraft/b38m.yml</t>
  </si>
  <si>
    <t>Fabricante: superficie alar</t>
  </si>
  <si>
    <t>https://www.atr-aircraft.com/wp-content/uploads/2020/07/72-200.pdf</t>
  </si>
  <si>
    <t>Longitud general publicada por fabricante</t>
  </si>
  <si>
    <t>Ficha ATR pp. 1–2. MTOW básico 21500 kg, opción 22000 kg.</t>
  </si>
  <si>
    <t>Boeing 787-8</t>
  </si>
  <si>
    <t>https://github.com/junzis/openap/blob/master/openap/data/aircraft/b788.yml</t>
  </si>
  <si>
    <t>Boeing 777-200/200ER</t>
  </si>
  <si>
    <t>https://github.com/junzis/openap/blob/master/openap/data/aircraft/b772.yml</t>
  </si>
  <si>
    <t>Fila vacía del CSV original; conservada.</t>
  </si>
  <si>
    <t>https://www.atr-aircraft.com/wp-content/uploads/2020/07/Factsheets_-_ATR_72-600.pdf</t>
  </si>
  <si>
    <t>MTOW básico 22800 kg; opción 23000 kg.</t>
  </si>
  <si>
    <t>https://github.com/junzis/openap/blob/master/openap/data/aircraft/a388.yml</t>
  </si>
  <si>
    <t>https://github.com/junzis/openap/blob/master/openap/data/aircraft/b739.yml</t>
  </si>
  <si>
    <t>FAA ACD octubre 2024: configuración de referencia, no máximo entre todas las variantes. AAC validated by Flight Standardization Board (FSB) report. Moved the wingspan to winglet column.</t>
  </si>
  <si>
    <t>Citation CJ4 Gen3</t>
  </si>
  <si>
    <t>https://cessna.txtav.com/en/citation/cj4-gen2</t>
  </si>
  <si>
    <t>Saab_340B</t>
  </si>
  <si>
    <t>FAST: dato de investigación Aero_S (no BADA)</t>
  </si>
  <si>
    <t>https://github.com/ideas-um/FAST/blob/main/%2BDatabasePkg/JMPInputSheetPROPS.xlsx</t>
  </si>
  <si>
    <t>FAA ACD octubre 2024: configuración de referencia, no máximo entre todas las variantes. According to FSB data, If flaps are not down (not flaps), AAC is D.</t>
  </si>
  <si>
    <t>FAA ACD octubre 2024: configuración de referencia, no máximo entre todas las variantes. According to FSB data, If flaps configuration is set for 15 or 20 degrees (not full flaps), AAC is C.</t>
  </si>
  <si>
    <t>MD_11</t>
  </si>
  <si>
    <t>https://github.com/ideas-um/FAST/blob/main/%2BDatabasePkg/JMPInputSheetFANS.xlsx</t>
  </si>
  <si>
    <t>Citation Latitude</t>
  </si>
  <si>
    <t>https://cessna.txtav.com/en/citation/latitude</t>
  </si>
  <si>
    <t>Learjet45</t>
  </si>
  <si>
    <t>No se encontró una ficha suficientemente verificada para completar los valores.</t>
  </si>
  <si>
    <t>FAA ACD octubre 2024: configuración de referencia, no máximo entre todas las variantes. Corrected CMG based on Pilatus PC12-NGX brochure.</t>
  </si>
  <si>
    <t>https://github.com/junzis/openap/blob/master/openap/data/aircraft/b737.yml</t>
  </si>
  <si>
    <t>https://github.com/junzis/openap/blob/master/openap/data/aircraft/b39m.yml</t>
  </si>
  <si>
    <t>Citation M2</t>
  </si>
  <si>
    <t>https://cessna.txtav.com/en/citation/m2-gen2</t>
  </si>
  <si>
    <t>https://github.com/junzis/openap/blob/master/openap/data/aircraft/b734.yml</t>
  </si>
  <si>
    <t>Gulfstream G650 / 650ER</t>
  </si>
  <si>
    <t>https://github.com/junzis/openap/blob/master/openap/data/aircraft/glf6.yml</t>
  </si>
  <si>
    <t>FAA ACD octubre 2024: configuración de referencia, no máximo entre todas las variantes. AAC validated by Flight Standardization Board (FSB) report. Registration count does not include G650ER (288 G650ERs in US registry).</t>
  </si>
  <si>
    <t>BD_100_1A10</t>
  </si>
  <si>
    <t>Citation Longitude</t>
  </si>
  <si>
    <t>https://cessna.txtav.com/en/citation/longitude</t>
  </si>
  <si>
    <t>D328_100</t>
  </si>
  <si>
    <t>Beech_1900D</t>
  </si>
  <si>
    <t>FAA ACD octubre 2024: configuración de referencia, no máximo entre todas las variantes. AAC validated by Flight Standardization Board (FSB) report.  Verify with aircraft operator if they are using an approved Supplemental Type Certificate with a “Flaps Approach” or “Flaps 17” configuration during a Normal Landing; if so, and the aircraft has regular use, select AAC C.</t>
  </si>
  <si>
    <t>A310_204</t>
  </si>
  <si>
    <t>FAA ACD octubre 2024: configuración de referencia, no máximo entre todas las variantes. AAC validated by Flight Standardization Board (FSB) report. Corrected wheelbase using a Gulfstream GV Operating Manual.</t>
  </si>
  <si>
    <t>King Air 260</t>
  </si>
  <si>
    <t>https://beechcraft.txtav.com/en/king-air-260</t>
  </si>
  <si>
    <t>EMB_135LR</t>
  </si>
  <si>
    <t>Airbus A319neo</t>
  </si>
  <si>
    <t>https://github.com/junzis/openap/blob/master/openap/data/aircraft/a19n.yml</t>
  </si>
  <si>
    <t>King Air 360</t>
  </si>
  <si>
    <t>https://beechcraft.txtav.com/en/king-air-360</t>
  </si>
  <si>
    <t>Embraer ERJ145 (LR)</t>
  </si>
  <si>
    <t>https://github.com/junzis/openap/blob/master/openap/data/aircraft/e145.yml</t>
  </si>
  <si>
    <t>https://github.com/junzis/openap/blob/master/openap/data/aircraft/a318.yml</t>
  </si>
  <si>
    <t>https://contentzone.eurocontrol.int/aircraftperformance/details.aspx?ICAO=F100</t>
  </si>
  <si>
    <t>ZZZZ no identifica un modelo concreto; requiere identificar la aeronave.</t>
  </si>
  <si>
    <t>Cessna Citation II</t>
  </si>
  <si>
    <t>https://github.com/junzis/openap/blob/master/openap/data/aircraft/c550.yml</t>
  </si>
  <si>
    <t>https://www.gulfstream.com/en/aircraft/gulfstream-g700/</t>
  </si>
  <si>
    <t>No aplicable: helicóptero</t>
  </si>
  <si>
    <t>https://helicopters.leonardo.com/en/products/aw139</t>
  </si>
  <si>
    <t>Longitud total con rotores girando</t>
  </si>
  <si>
    <t>Longitud con rotores girando. Peso básico 6400 kg; opciones 6800/7000 kg.</t>
  </si>
  <si>
    <t>DHC_8_103</t>
  </si>
  <si>
    <t>https://www.atr-aircraft.com/wp-content/uploads/2020/07/72-500.pdf</t>
  </si>
  <si>
    <t>Ficha ATR pp. 1–2. MTOW básico 22000 kg, opciones 22500 y 22800 kg.</t>
  </si>
  <si>
    <t>https://contentzone.eurocontrol.int/aircraftperformance/details.aspx?ICAO=E121</t>
  </si>
  <si>
    <t>https://contentzone.eurocontrol.int/aircraftperformance/details.aspx?ICAO=M600</t>
  </si>
  <si>
    <t>https://www.diamondaircraft.com/en/private-owners/aircraft/da62/tech-specs/</t>
  </si>
  <si>
    <t>También existe opción de MTOM 1999 kg.</t>
  </si>
  <si>
    <t>https://www.dassaultfalcon.com/businessjets/falcon-6x/</t>
  </si>
  <si>
    <t>https://contentzone.eurocontrol.int/aircraftperformance/details.aspx?ICAO=AS32</t>
  </si>
  <si>
    <t>Longitud publicada de helicóptero</t>
  </si>
  <si>
    <t>A340_211</t>
  </si>
  <si>
    <t>https://contentzone.eurocontrol.int/aircraftperformance/details.aspx?ICAO=T204</t>
  </si>
  <si>
    <t>EUROCONTROL Aircraft Performance Database pública; no es la base BADA licenciada. Longitud omitida: variante/valor no suficientemente claros.</t>
  </si>
  <si>
    <t>https://contentzone.eurocontrol.int/aircraftperformance/details.aspx?ICAO=RJ70</t>
  </si>
  <si>
    <t>EUROCONTROL Aircraft Performance Database pública; no es la base BADA licenciada. MTOW de esta ficha omitido por inconsistencia.</t>
  </si>
  <si>
    <t>https://contentzone.eurocontrol.int/aircraftperformance/details.aspx?ICAO=AN26</t>
  </si>
  <si>
    <t>EUROCONTROL Aircraft Performance Database pública; no es la base BADA licenciada. Se cuentan 2 motores principales; RU-19 auxiliar excluido del conteo.</t>
  </si>
  <si>
    <t>https://www.airbus.com/en/products-services/defence/military-aircraft/c295</t>
  </si>
  <si>
    <t>Motores verificados en ficha Airbus; otros parámetros pendientes.</t>
  </si>
  <si>
    <t>EMB_120</t>
  </si>
  <si>
    <t>https://github.com/junzis/openap/blob/master/openap/data/aircraft/b773.yml</t>
  </si>
  <si>
    <t>https://contentzone.eurocontrol.int/aircraftperformance/details.aspx?ICAO=A109</t>
  </si>
  <si>
    <t>Learjet31A</t>
  </si>
  <si>
    <t>https://www.bellflight.com/products/bell-429</t>
  </si>
  <si>
    <t>IGW 3402 kg requiere kit/aprobación aplicable; peso con carga externa 3629 kg. Se muestra configuración estándar.</t>
  </si>
  <si>
    <t>https://contentzone.eurocontrol.int/aircraftperformance/details.aspx?ICAO=IL96</t>
  </si>
  <si>
    <t>FAA ACD octubre 2024: configuración de referencia, no máximo entre todas las variantes. According to FSB, If flaps configuration is set for 15 or 20 degrees (not full flaps), AAC is C.</t>
  </si>
  <si>
    <t>https://www.piper.com/wp-content/uploads/2024/02/2026_M700_Brochure.pdf</t>
  </si>
  <si>
    <t>Folleto 2026; dimensiones generales.</t>
  </si>
  <si>
    <t>https://contentzone.eurocontrol.int/aircraftperformance/details.aspx?ICAO=H60</t>
  </si>
  <si>
    <t>https://www.airbus.com/en/products-services/helicopters/civil-helicopters/h225/h225-technical-information</t>
  </si>
  <si>
    <t>Carga externa: 11200 kg. D-value 19.50 m no se equipara aquí a longitud del fuselaje.</t>
  </si>
  <si>
    <t>https://www.diamondaircraft.com/en/private-owners/aircraft/da50/tech-specs/</t>
  </si>
  <si>
    <t>DA50 RG de producción. No se usan los datos del prototipo antiguo de EUROCONTROL.</t>
  </si>
  <si>
    <t>https://www.atr-aircraft.com/wp-content/uploads/2020/07/72-210.pdf</t>
  </si>
  <si>
    <t>https://contentzone.eurocontrol.int/aircraftperformance/details.aspx?ICAO=L410</t>
  </si>
  <si>
    <t>https://cessna.txtav.com/en/turboprop/skycourier-passenger</t>
  </si>
  <si>
    <t>https://cessna.txtav.com/-/media/cessna/files/product-cards/turboprop/skycourier_passenger_product_card.pdf</t>
  </si>
  <si>
    <t>Longitud total publicada</t>
  </si>
  <si>
    <t>Configuración Passenger; MTOW según product card del fabricante.</t>
  </si>
  <si>
    <t>https://contentzone.eurocontrol.int/aircraftperformance/details.aspx?ICAO=F70</t>
  </si>
  <si>
    <t>https://contentzone.eurocontrol.int/aircraftperformance/details.aspx?ICAO=PC6T</t>
  </si>
  <si>
    <t>D228_212</t>
  </si>
  <si>
    <t>https://contentzone.eurocontrol.int/aircraftperformance/details.aspx?ICAO=D228</t>
  </si>
  <si>
    <t>https://www.gulfstream.com/en/aircraft/gulfstream-g800/</t>
  </si>
  <si>
    <t>CL_600_2C10</t>
  </si>
  <si>
    <t>Campo / criterio</t>
  </si>
  <si>
    <t>Interpretación</t>
  </si>
  <si>
    <t>243 filas conservadas en el orden del CSV; 225 con algún dato.</t>
  </si>
  <si>
    <t>Superficie alar pública</t>
  </si>
  <si>
    <t>62 valores. Área de referencia publicada; no se calcula a partir de la envergadura. OpenAP y FAST son datos de modelos de investigación, no certificación ni BADA.</t>
  </si>
  <si>
    <t>MTOW</t>
  </si>
  <si>
    <t>224 valores, en kg. Máximo al despegue de la configuración indicada por la fuente. No es necesariamente el mayor MTOW certificado entre todas las variantes del mismo código ni el de una matrícula concreta.</t>
  </si>
  <si>
    <t>Longitud del fuselaje</t>
  </si>
  <si>
    <t>35 valores del campo fuselage.length de OpenAP. Se conserva el significado declarado por el modelo; no es una medición independiente del fuselaje.</t>
  </si>
  <si>
    <t>Longitud total / publicada</t>
  </si>
  <si>
    <t>221 valores en m. FAA: Aircraft Full Length. Otras fichas: longitud general publicada. En helicópteros puede incluir rotores. No se intercambia con longitud estricta del fuselaje.</t>
  </si>
  <si>
    <t>Motores</t>
  </si>
  <si>
    <t>225 valores. Número de motores principales de propulsión instalados; excluye APU y motores auxiliares. An-26: 2 principales y RU-19 auxiliar indicado en notas.</t>
  </si>
  <si>
    <t>BADA</t>
  </si>
  <si>
    <t>No se accedió a una base BADA licenciada. La columna se mantiene vacía; las fichas públicas de EUROCONTROL no se presentan como BADA. https://www.eurocontrol.int/model/bada</t>
  </si>
  <si>
    <t>Variantes</t>
  </si>
  <si>
    <t>El código ICAO puede abarcar distintas versiones. El modelo para MTOW está en Aeronaves; la variante de superficie está en Fuentes. No se garantiza que todos los campos correspondan a una misma subvariante.</t>
  </si>
  <si>
    <t>Designadores</t>
  </si>
  <si>
    <t>Se conserva el código del CSV, sin normalizar ni sustituir códigos dudosos. Los códigos sin ficha identificada se marcan Pendiente. ZZZZ no determina un modelo; la fila vacía se conserva.</t>
  </si>
  <si>
    <t>Conversiones</t>
  </si>
  <si>
    <t>1 lb = 0.45359237 kg; 1 ft = 0.3048 m. Los datos FAA originales están en Fuentes; las conversiones son fórmulas. Visualización: kg enteros y m/m² con dos decimales.</t>
  </si>
  <si>
    <t>FAA</t>
  </si>
  <si>
    <t>Aircraft Characteristics Database, edición octubre 2024. Fuente base para coincidencias exactas de código. https://www.faa.gov/airports/engineering/aircraft_char_database</t>
  </si>
  <si>
    <t>OpenAP</t>
  </si>
  <si>
    <t>Datos YAML públicos por aeronave, campos wing.area y fuselage.length. No se han ejecutado estimaciones para completar huecos. https://github.com/junzis/openap</t>
  </si>
  <si>
    <t>FAST</t>
  </si>
  <si>
    <t>Tablas públicas JMPInputSheetFANS/PROPS del proyecto FAST (IDEAS, University of Michigan), campo Aero_S y MTOW del RJ70. Datos de investigación; variante indicada en Fuentes. https://github.com/ideas-um/FAST</t>
  </si>
  <si>
    <t>EUROCONTROL pública</t>
  </si>
  <si>
    <t>Aircraft Performance Database: fichas públicas de tipo. Se descartaron datos incoherentes detectados (DA50 prototipo; MTOW RJ70; longitud T204). Las exclusiones se documentan.</t>
  </si>
  <si>
    <t>Ausencias</t>
  </si>
  <si>
    <t>Celda vacía = no disponible o no suficientemente verificada; en superficie alar de helicóptero, no aplicable. No se han imputado ceros ni estimado valores por similitud.</t>
  </si>
  <si>
    <t>Fecha</t>
  </si>
  <si>
    <t>Fuentes consultadas el 13 de septiembre de 2026; la edición de una base puede ser anterior.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</si>
</sst>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name val="Carlito"/>
    </font>
    <font>
      <sz val="10"/>
      <color rgb="FF243247"/>
      <name val="Arial"/>
    </font>
    <font>
      <b/>
      <sz val="20"/>
      <color rgb="FFFFFFFF"/>
      <name val="Arial"/>
    </font>
    <font>
      <b/>
      <sz val="10"/>
      <color rgb="FFFFFFFF"/>
      <name val="Arial"/>
    </font>
    <font>
      <sz val="10"/>
      <color rgb="FF815516"/>
      <name val="Arial"/>
    </font>
    <font>
      <sz val="11"/>
      <color rgb="FF243247"/>
      <name val="Arial"/>
    </font>
    <font>
      <b/>
      <sz val="11"/>
      <color rgb="FFFFFFFF"/>
      <name val="Arial"/>
    </font>
    <font>
      <b/>
      <sz val="11"/>
      <color rgb="FF243247"/>
      <name val="Arial"/>
    </font>
  </fonts>
  <fills count="6">
    <fill>
      <patternFill patternType="none"/>
    </fill>
    <fill>
      <patternFill patternType="gray125"/>
    </fill>
    <fill>
      <patternFill patternType="solid">
        <fgColor rgb="FF152B46"/>
      </patternFill>
    </fill>
    <fill>
      <patternFill patternType="solid">
        <fgColor rgb="FF126D78"/>
      </patternFill>
    </fill>
    <fill>
      <patternFill patternType="solid">
        <fgColor rgb="FFFFF1D9"/>
      </patternFill>
    </fill>
    <fill>
      <patternFill patternType="solid">
        <fgColor rgb="FFE7F1F3"/>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3" fillId="3" borderId="0" xfId="0" applyFont="1" applyFill="1" applyAlignment="1">
      <alignment vertical="center" wrapText="1"/>
    </xf>
    <xf numFmtId="0" fontId="1" fillId="0" borderId="0" xfId="0" applyFont="1" applyAlignment="1">
      <alignment vertical="center"/>
    </xf>
    <xf numFmtId="0" fontId="1" fillId="0" borderId="0" xfId="0" applyFont="1" applyAlignment="1">
      <alignment vertical="center" wrapText="1"/>
    </xf>
    <xf numFmtId="2" fontId="1" fillId="0" borderId="0" xfId="0" applyNumberFormat="1" applyFont="1" applyAlignment="1">
      <alignment vertical="center"/>
    </xf>
    <xf numFmtId="3" fontId="1" fillId="0" borderId="0" xfId="0" applyNumberFormat="1" applyFont="1" applyAlignment="1">
      <alignment vertical="center"/>
    </xf>
    <xf numFmtId="1" fontId="1" fillId="0" borderId="0" xfId="0" applyNumberFormat="1" applyFont="1" applyAlignment="1">
      <alignment vertical="center"/>
    </xf>
    <xf numFmtId="0" fontId="5" fillId="0" borderId="0" xfId="0" applyFont="1" applyAlignment="1">
      <alignment vertical="center" wrapText="1"/>
    </xf>
    <xf numFmtId="0" fontId="6" fillId="2" borderId="0" xfId="0" applyFont="1" applyFill="1" applyAlignment="1">
      <alignment vertical="center" wrapText="1"/>
    </xf>
    <xf numFmtId="0" fontId="7" fillId="5" borderId="0" xfId="0" applyFont="1" applyFill="1" applyAlignment="1">
      <alignment vertical="center" wrapText="1"/>
    </xf>
    <xf numFmtId="0" fontId="2" fillId="2" borderId="0" xfId="0" applyFont="1" applyFill="1" applyAlignment="1"/>
    <xf numFmtId="0" fontId="1" fillId="0" borderId="0" xfId="0" applyFont="1" applyAlignment="1"/>
    <xf numFmtId="0" fontId="4" fillId="4" borderId="0" xfId="0" applyFont="1" applyFill="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ircraftData" displayName="AircraftData" ref="A6:I249" totalsRowShown="0">
  <tableColumns count="9">
    <tableColumn id="1" xr3:uid="{00000000-0010-0000-0000-000001000000}" name="Código ICAO del CSV"/>
    <tableColumn id="2" xr3:uid="{00000000-0010-0000-0000-000002000000}" name="Modelo de referencia MTOW"/>
    <tableColumn id="3" xr3:uid="{00000000-0010-0000-0000-000003000000}" name="Superficie alar pública (m²)"/>
    <tableColumn id="4" xr3:uid="{00000000-0010-0000-0000-000004000000}" name="MTOW de referencia (kg)"/>
    <tableColumn id="5" xr3:uid="{00000000-0010-0000-0000-000005000000}" name="Longitud fuselaje OpenAP (m)"/>
    <tableColumn id="6" xr3:uid="{00000000-0010-0000-0000-000006000000}" name="Longitud total / publicada (m)"/>
    <tableColumn id="7" xr3:uid="{00000000-0010-0000-0000-000007000000}" name="N.º motores principales"/>
    <tableColumn id="8" xr3:uid="{00000000-0010-0000-0000-000008000000}" name="Superficie alar BADA (m²)"/>
    <tableColumn id="9" xr3:uid="{00000000-0010-0000-0000-000009000000}" name="Cobertura"/>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AircraftSources" displayName="AircraftSources" ref="A6:L249" totalsRowShown="0">
  <tableColumns count="12">
    <tableColumn id="1" xr3:uid="{00000000-0010-0000-0100-000001000000}" name="Código del CSV"/>
    <tableColumn id="2" xr3:uid="{00000000-0010-0000-0100-000002000000}" name="Variante superficie alar"/>
    <tableColumn id="3" xr3:uid="{00000000-0010-0000-0100-000003000000}" name="Origen superficie alar"/>
    <tableColumn id="4" xr3:uid="{00000000-0010-0000-0100-000004000000}" name="URL superficie alar"/>
    <tableColumn id="5" xr3:uid="{00000000-0010-0000-0100-000005000000}" name="URL MTOW"/>
    <tableColumn id="6" xr3:uid="{00000000-0010-0000-0100-000006000000}" name="URL longitud publicada"/>
    <tableColumn id="7" xr3:uid="{00000000-0010-0000-0100-000007000000}" name="URL motores"/>
    <tableColumn id="8" xr3:uid="{00000000-0010-0000-0100-000008000000}" name="URL fuselaje OpenAP"/>
    <tableColumn id="9" xr3:uid="{00000000-0010-0000-0100-000009000000}" name="FAA MTOW original (lb)"/>
    <tableColumn id="10" xr3:uid="{00000000-0010-0000-0100-00000A000000}" name="FAA longitud original (ft)"/>
    <tableColumn id="11" xr3:uid="{00000000-0010-0000-0100-00000B000000}" name="Definición longitud"/>
    <tableColumn id="12" xr3:uid="{00000000-0010-0000-0100-00000C000000}" name="Observacion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49"/>
  <sheetViews>
    <sheetView showGridLines="0" tabSelected="1" workbookViewId="0">
      <pane xSplit="2" ySplit="6" topLeftCell="C7" activePane="bottomRight" state="frozen"/>
      <selection pane="bottomRight"/>
      <selection pane="bottomLeft"/>
      <selection pane="topRight"/>
    </sheetView>
  </sheetViews>
  <sheetFormatPr defaultRowHeight="15"/>
  <cols>
    <col min="1" max="1" width="15" customWidth="1"/>
    <col min="2" max="2" width="38" customWidth="1"/>
    <col min="3" max="8" width="18" customWidth="1"/>
    <col min="9" max="9" width="15" customWidth="1"/>
  </cols>
  <sheetData>
    <row r="1" spans="1:9">
      <c r="A1" s="11" t="s">
        <v>0</v>
      </c>
      <c r="B1" s="11"/>
      <c r="C1" s="11"/>
      <c r="D1" s="11"/>
      <c r="E1" s="11"/>
      <c r="F1" s="11"/>
      <c r="G1" s="11"/>
      <c r="H1" s="11"/>
      <c r="I1" s="11"/>
    </row>
    <row r="2" spans="1:9">
      <c r="A2" s="11"/>
      <c r="B2" s="11"/>
      <c r="C2" s="11"/>
      <c r="D2" s="11"/>
      <c r="E2" s="11"/>
      <c r="F2" s="11"/>
      <c r="G2" s="11"/>
      <c r="H2" s="11"/>
      <c r="I2" s="11"/>
    </row>
    <row r="3" spans="1:9" ht="27" customHeight="1">
      <c r="A3" s="12" t="s">
        <v>1</v>
      </c>
      <c r="B3" s="12"/>
      <c r="C3" s="12"/>
      <c r="D3" s="12"/>
      <c r="E3" s="12"/>
      <c r="F3" s="12"/>
      <c r="G3" s="12"/>
      <c r="H3" s="12"/>
      <c r="I3" s="12"/>
    </row>
    <row r="4" spans="1:9" ht="26.1" customHeight="1">
      <c r="A4" s="13" t="s">
        <v>2</v>
      </c>
      <c r="B4" s="13"/>
      <c r="C4" s="13"/>
      <c r="D4" s="13"/>
      <c r="E4" s="13"/>
      <c r="F4" s="13"/>
      <c r="G4" s="13"/>
      <c r="H4" s="13"/>
      <c r="I4" s="13"/>
    </row>
    <row r="5" spans="1:9">
      <c r="A5" s="1"/>
      <c r="B5" s="1"/>
      <c r="C5" s="1"/>
      <c r="D5" s="1"/>
      <c r="E5" s="1"/>
      <c r="F5" s="1"/>
      <c r="G5" s="1"/>
      <c r="H5" s="1"/>
      <c r="I5" s="1"/>
    </row>
    <row r="6" spans="1:9" ht="48.95" customHeight="1">
      <c r="A6" s="2" t="s">
        <v>3</v>
      </c>
      <c r="B6" s="2" t="s">
        <v>4</v>
      </c>
      <c r="C6" s="2" t="s">
        <v>5</v>
      </c>
      <c r="D6" s="2" t="s">
        <v>6</v>
      </c>
      <c r="E6" s="2" t="s">
        <v>7</v>
      </c>
      <c r="F6" s="2" t="s">
        <v>8</v>
      </c>
      <c r="G6" s="2" t="s">
        <v>9</v>
      </c>
      <c r="H6" s="2" t="s">
        <v>10</v>
      </c>
      <c r="I6" s="2" t="s">
        <v>11</v>
      </c>
    </row>
    <row r="7" spans="1:9" ht="32.1" customHeight="1">
      <c r="A7" s="3" t="s">
        <v>12</v>
      </c>
      <c r="B7" s="4" t="s">
        <v>13</v>
      </c>
      <c r="C7" s="5">
        <v>124</v>
      </c>
      <c r="D7" s="6">
        <f>ROUND(Fuentes!I7*0.45359237,0)</f>
        <v>78000</v>
      </c>
      <c r="E7" s="5">
        <v>37.57</v>
      </c>
      <c r="F7" s="5">
        <f>ROUND(Fuentes!J7*0.3048,2)</f>
        <v>37.58</v>
      </c>
      <c r="G7" s="7">
        <v>2</v>
      </c>
      <c r="H7" s="3"/>
      <c r="I7" s="3" t="s">
        <v>14</v>
      </c>
    </row>
    <row r="8" spans="1:9" ht="32.1" customHeight="1">
      <c r="A8" s="3" t="s">
        <v>15</v>
      </c>
      <c r="B8" s="4" t="s">
        <v>16</v>
      </c>
      <c r="C8" s="5">
        <v>72.72</v>
      </c>
      <c r="D8" s="6">
        <f>ROUND(Fuentes!I8*0.45359237,0)</f>
        <v>38600</v>
      </c>
      <c r="E8" s="5">
        <v>29.9</v>
      </c>
      <c r="F8" s="5">
        <f>ROUND(Fuentes!J8*0.3048,2)</f>
        <v>29.9</v>
      </c>
      <c r="G8" s="7">
        <v>2</v>
      </c>
      <c r="H8" s="3"/>
      <c r="I8" s="3" t="s">
        <v>14</v>
      </c>
    </row>
    <row r="9" spans="1:9" ht="32.1" customHeight="1">
      <c r="A9" s="3" t="s">
        <v>17</v>
      </c>
      <c r="B9" s="4" t="s">
        <v>18</v>
      </c>
      <c r="C9" s="5"/>
      <c r="D9" s="6">
        <f>ROUND(Fuentes!I9*0.45359237,0)</f>
        <v>380000</v>
      </c>
      <c r="E9" s="5"/>
      <c r="F9" s="5">
        <f>ROUND(Fuentes!J9*0.3048,2)</f>
        <v>75.349999999999994</v>
      </c>
      <c r="G9" s="7">
        <v>4</v>
      </c>
      <c r="H9" s="3"/>
      <c r="I9" s="3" t="s">
        <v>14</v>
      </c>
    </row>
    <row r="10" spans="1:9" ht="32.1" customHeight="1">
      <c r="A10" s="3" t="s">
        <v>19</v>
      </c>
      <c r="B10" s="4" t="s">
        <v>20</v>
      </c>
      <c r="C10" s="5">
        <v>554</v>
      </c>
      <c r="D10" s="6">
        <f>ROUND(Fuentes!I10*0.45359237,0)</f>
        <v>447696</v>
      </c>
      <c r="E10" s="5">
        <v>76.3</v>
      </c>
      <c r="F10" s="5">
        <f>ROUND(Fuentes!J10*0.3048,2)</f>
        <v>76.260000000000005</v>
      </c>
      <c r="G10" s="7">
        <v>4</v>
      </c>
      <c r="H10" s="3"/>
      <c r="I10" s="3" t="s">
        <v>14</v>
      </c>
    </row>
    <row r="11" spans="1:9" ht="32.1" customHeight="1">
      <c r="A11" s="3" t="s">
        <v>21</v>
      </c>
      <c r="B11" s="4" t="s">
        <v>22</v>
      </c>
      <c r="C11" s="5">
        <v>92.5</v>
      </c>
      <c r="D11" s="6">
        <f>ROUND(Fuentes!I11*0.45359237,0)</f>
        <v>50300</v>
      </c>
      <c r="E11" s="5">
        <v>36.24</v>
      </c>
      <c r="F11" s="5">
        <f>ROUND(Fuentes!J11*0.3048,2)</f>
        <v>36.24</v>
      </c>
      <c r="G11" s="7">
        <v>2</v>
      </c>
      <c r="H11" s="3"/>
      <c r="I11" s="3" t="s">
        <v>14</v>
      </c>
    </row>
    <row r="12" spans="1:9" ht="32.1" customHeight="1">
      <c r="A12" s="3" t="s">
        <v>23</v>
      </c>
      <c r="B12" s="4" t="s">
        <v>24</v>
      </c>
      <c r="C12" s="5">
        <v>124</v>
      </c>
      <c r="D12" s="6">
        <f>ROUND(Fuentes!I12*0.45359237,0)</f>
        <v>76500</v>
      </c>
      <c r="E12" s="5">
        <v>33.840000000000003</v>
      </c>
      <c r="F12" s="5">
        <f>ROUND(Fuentes!J12*0.3048,2)</f>
        <v>33.83</v>
      </c>
      <c r="G12" s="7">
        <v>2</v>
      </c>
      <c r="H12" s="3"/>
      <c r="I12" s="3" t="s">
        <v>14</v>
      </c>
    </row>
    <row r="13" spans="1:9" ht="32.1" customHeight="1">
      <c r="A13" s="3" t="s">
        <v>25</v>
      </c>
      <c r="B13" s="4" t="s">
        <v>26</v>
      </c>
      <c r="C13" s="5"/>
      <c r="D13" s="6">
        <f>ROUND(Fuentes!I13*0.45359237,0)</f>
        <v>251018</v>
      </c>
      <c r="E13" s="5"/>
      <c r="F13" s="5">
        <f>ROUND(Fuentes!J13*0.3048,2)</f>
        <v>63.67</v>
      </c>
      <c r="G13" s="7">
        <v>2</v>
      </c>
      <c r="H13" s="3"/>
      <c r="I13" s="3" t="s">
        <v>14</v>
      </c>
    </row>
    <row r="14" spans="1:9" ht="32.1" customHeight="1">
      <c r="A14" s="3" t="s">
        <v>27</v>
      </c>
      <c r="B14" s="4" t="s">
        <v>28</v>
      </c>
      <c r="C14" s="5"/>
      <c r="D14" s="6">
        <v>40824</v>
      </c>
      <c r="E14" s="5"/>
      <c r="F14" s="5">
        <v>39.130000000000003</v>
      </c>
      <c r="G14" s="7">
        <v>2</v>
      </c>
      <c r="H14" s="3"/>
      <c r="I14" s="3" t="s">
        <v>14</v>
      </c>
    </row>
    <row r="15" spans="1:9" ht="32.1" customHeight="1">
      <c r="A15" s="3" t="s">
        <v>29</v>
      </c>
      <c r="B15" s="4" t="s">
        <v>30</v>
      </c>
      <c r="C15" s="5">
        <v>124</v>
      </c>
      <c r="D15" s="6">
        <f>ROUND(Fuentes!I15*0.45359237,0)</f>
        <v>79000</v>
      </c>
      <c r="E15" s="5">
        <v>37.57</v>
      </c>
      <c r="F15" s="5">
        <f>ROUND(Fuentes!J15*0.3048,2)</f>
        <v>37.58</v>
      </c>
      <c r="G15" s="7">
        <v>2</v>
      </c>
      <c r="H15" s="3"/>
      <c r="I15" s="3" t="s">
        <v>14</v>
      </c>
    </row>
    <row r="16" spans="1:9" ht="32.1" customHeight="1">
      <c r="A16" s="3" t="s">
        <v>31</v>
      </c>
      <c r="B16" s="4" t="s">
        <v>32</v>
      </c>
      <c r="C16" s="5">
        <v>71.069999999999993</v>
      </c>
      <c r="D16" s="6">
        <f>ROUND(Fuentes!I16*0.45359237,0)</f>
        <v>36514</v>
      </c>
      <c r="E16" s="5">
        <v>33.5</v>
      </c>
      <c r="F16" s="5">
        <f>ROUND(Fuentes!J16*0.3048,2)</f>
        <v>36.21</v>
      </c>
      <c r="G16" s="7">
        <v>2</v>
      </c>
      <c r="H16" s="3"/>
      <c r="I16" s="3" t="s">
        <v>14</v>
      </c>
    </row>
    <row r="17" spans="1:9" ht="32.1" customHeight="1">
      <c r="A17" s="3" t="s">
        <v>33</v>
      </c>
      <c r="B17" s="4" t="s">
        <v>34</v>
      </c>
      <c r="C17" s="5">
        <v>361.6</v>
      </c>
      <c r="D17" s="6">
        <f>ROUND(Fuentes!I17*0.45359237,0)</f>
        <v>242000</v>
      </c>
      <c r="E17" s="5">
        <v>58.82</v>
      </c>
      <c r="F17" s="5">
        <f>ROUND(Fuentes!J17*0.3048,2)</f>
        <v>59.01</v>
      </c>
      <c r="G17" s="7">
        <v>2</v>
      </c>
      <c r="H17" s="3"/>
      <c r="I17" s="3" t="s">
        <v>14</v>
      </c>
    </row>
    <row r="18" spans="1:9" ht="32.1" customHeight="1">
      <c r="A18" s="3" t="s">
        <v>35</v>
      </c>
      <c r="B18" s="4" t="s">
        <v>36</v>
      </c>
      <c r="C18" s="5">
        <v>72.72</v>
      </c>
      <c r="D18" s="6">
        <f>ROUND(Fuentes!I18*0.45359237,0)</f>
        <v>38790</v>
      </c>
      <c r="E18" s="5">
        <v>29.9</v>
      </c>
      <c r="F18" s="5">
        <f>ROUND(Fuentes!J18*0.3048,2)</f>
        <v>32.31</v>
      </c>
      <c r="G18" s="7">
        <v>2</v>
      </c>
      <c r="H18" s="3"/>
      <c r="I18" s="3" t="s">
        <v>14</v>
      </c>
    </row>
    <row r="19" spans="1:9" ht="32.1" customHeight="1">
      <c r="A19" s="3" t="s">
        <v>37</v>
      </c>
      <c r="B19" s="4" t="s">
        <v>38</v>
      </c>
      <c r="C19" s="5"/>
      <c r="D19" s="6">
        <f>ROUND(Fuentes!I19*0.45359237,0)</f>
        <v>347500</v>
      </c>
      <c r="E19" s="5"/>
      <c r="F19" s="5">
        <f>ROUND(Fuentes!J19*0.3048,2)</f>
        <v>63.73</v>
      </c>
      <c r="G19" s="7">
        <v>2</v>
      </c>
      <c r="H19" s="3"/>
      <c r="I19" s="3" t="s">
        <v>14</v>
      </c>
    </row>
    <row r="20" spans="1:9" ht="32.1" customHeight="1">
      <c r="A20" s="3" t="s">
        <v>39</v>
      </c>
      <c r="B20" s="4" t="s">
        <v>40</v>
      </c>
      <c r="C20" s="5">
        <v>361.6</v>
      </c>
      <c r="D20" s="6">
        <f>ROUND(Fuentes!I20*0.45359237,0)</f>
        <v>242000</v>
      </c>
      <c r="E20" s="5">
        <v>63.67</v>
      </c>
      <c r="F20" s="5">
        <f>ROUND(Fuentes!J20*0.3048,2)</f>
        <v>63.7</v>
      </c>
      <c r="G20" s="7">
        <v>2</v>
      </c>
      <c r="H20" s="3"/>
      <c r="I20" s="3" t="s">
        <v>14</v>
      </c>
    </row>
    <row r="21" spans="1:9" ht="32.1" customHeight="1">
      <c r="A21" s="3" t="s">
        <v>41</v>
      </c>
      <c r="B21" s="4" t="s">
        <v>42</v>
      </c>
      <c r="C21" s="5">
        <v>128</v>
      </c>
      <c r="D21" s="6">
        <f>ROUND(Fuentes!I21*0.45359237,0)</f>
        <v>95000</v>
      </c>
      <c r="E21" s="5">
        <v>44.51</v>
      </c>
      <c r="F21" s="5">
        <f>ROUND(Fuentes!J21*0.3048,2)</f>
        <v>44.5</v>
      </c>
      <c r="G21" s="7">
        <v>2</v>
      </c>
      <c r="H21" s="3"/>
      <c r="I21" s="3" t="s">
        <v>14</v>
      </c>
    </row>
    <row r="22" spans="1:9" ht="32.1" customHeight="1">
      <c r="A22" s="3" t="s">
        <v>43</v>
      </c>
      <c r="B22" s="4" t="s">
        <v>44</v>
      </c>
      <c r="C22" s="5">
        <v>128</v>
      </c>
      <c r="D22" s="6">
        <f>ROUND(Fuentes!I22*0.45359237,0)</f>
        <v>91000</v>
      </c>
      <c r="E22" s="5">
        <v>44.51</v>
      </c>
      <c r="F22" s="5">
        <f>ROUND(Fuentes!J22*0.3048,2)</f>
        <v>44.5</v>
      </c>
      <c r="G22" s="7">
        <v>2</v>
      </c>
      <c r="H22" s="3"/>
      <c r="I22" s="3" t="s">
        <v>14</v>
      </c>
    </row>
    <row r="23" spans="1:9" ht="32.1" customHeight="1">
      <c r="A23" s="3" t="s">
        <v>45</v>
      </c>
      <c r="B23" s="4" t="s">
        <v>46</v>
      </c>
      <c r="C23" s="5">
        <v>436.8</v>
      </c>
      <c r="D23" s="6">
        <f>ROUND(Fuentes!I23*0.45359237,0)</f>
        <v>351534</v>
      </c>
      <c r="E23" s="5">
        <v>73.86</v>
      </c>
      <c r="F23" s="5">
        <f>ROUND(Fuentes!J23*0.3048,2)</f>
        <v>73.849999999999994</v>
      </c>
      <c r="G23" s="7">
        <v>2</v>
      </c>
      <c r="H23" s="3"/>
      <c r="I23" s="3" t="s">
        <v>14</v>
      </c>
    </row>
    <row r="24" spans="1:9" ht="32.1" customHeight="1">
      <c r="A24" s="3" t="s">
        <v>47</v>
      </c>
      <c r="B24" s="4" t="s">
        <v>48</v>
      </c>
      <c r="C24" s="5"/>
      <c r="D24" s="6">
        <f>ROUND(Fuentes!I24*0.45359237,0)</f>
        <v>70900</v>
      </c>
      <c r="E24" s="5"/>
      <c r="F24" s="5">
        <f>ROUND(Fuentes!J24*0.3048,2)</f>
        <v>38.71</v>
      </c>
      <c r="G24" s="7">
        <v>2</v>
      </c>
      <c r="H24" s="3"/>
      <c r="I24" s="3" t="s">
        <v>14</v>
      </c>
    </row>
    <row r="25" spans="1:9" ht="32.1" customHeight="1">
      <c r="A25" s="3" t="s">
        <v>49</v>
      </c>
      <c r="B25" s="4" t="s">
        <v>50</v>
      </c>
      <c r="C25" s="5">
        <v>124.6</v>
      </c>
      <c r="D25" s="6">
        <f>ROUND(Fuentes!I25*0.45359237,0)</f>
        <v>79016</v>
      </c>
      <c r="E25" s="5">
        <v>39.47</v>
      </c>
      <c r="F25" s="5">
        <f>ROUND(Fuentes!J25*0.3048,2)</f>
        <v>39.47</v>
      </c>
      <c r="G25" s="7">
        <v>2</v>
      </c>
      <c r="H25" s="3"/>
      <c r="I25" s="3" t="s">
        <v>14</v>
      </c>
    </row>
    <row r="26" spans="1:9" ht="32.1" customHeight="1">
      <c r="A26" s="3" t="s">
        <v>51</v>
      </c>
      <c r="B26" s="4" t="s">
        <v>52</v>
      </c>
      <c r="C26" s="5">
        <v>92.5</v>
      </c>
      <c r="D26" s="6">
        <f>ROUND(Fuentes!I26*0.45359237,0)</f>
        <v>52290</v>
      </c>
      <c r="E26" s="5">
        <v>38.65</v>
      </c>
      <c r="F26" s="5">
        <f>ROUND(Fuentes!J26*0.3048,2)</f>
        <v>38.65</v>
      </c>
      <c r="G26" s="7">
        <v>2</v>
      </c>
      <c r="H26" s="3"/>
      <c r="I26" s="3" t="s">
        <v>14</v>
      </c>
    </row>
    <row r="27" spans="1:9" ht="32.1" customHeight="1">
      <c r="A27" s="3" t="s">
        <v>53</v>
      </c>
      <c r="B27" s="4" t="s">
        <v>54</v>
      </c>
      <c r="C27" s="5">
        <v>377</v>
      </c>
      <c r="D27" s="6">
        <f>ROUND(Fuentes!I27*0.45359237,0)</f>
        <v>254012</v>
      </c>
      <c r="E27" s="5">
        <v>62.81</v>
      </c>
      <c r="F27" s="5">
        <f>ROUND(Fuentes!J27*0.3048,2)</f>
        <v>62.82</v>
      </c>
      <c r="G27" s="7">
        <v>2</v>
      </c>
      <c r="H27" s="3"/>
      <c r="I27" s="3" t="s">
        <v>14</v>
      </c>
    </row>
    <row r="28" spans="1:9" ht="32.1" customHeight="1">
      <c r="A28" s="3" t="s">
        <v>55</v>
      </c>
      <c r="B28" s="4" t="s">
        <v>56</v>
      </c>
      <c r="C28" s="5">
        <v>363.1</v>
      </c>
      <c r="D28" s="6">
        <f>ROUND(Fuentes!I28*0.45359237,0)</f>
        <v>276500</v>
      </c>
      <c r="E28" s="5">
        <v>63.69</v>
      </c>
      <c r="F28" s="5">
        <f>ROUND(Fuentes!J28*0.3048,2)</f>
        <v>63.7</v>
      </c>
      <c r="G28" s="7">
        <v>4</v>
      </c>
      <c r="H28" s="3"/>
      <c r="I28" s="3" t="s">
        <v>14</v>
      </c>
    </row>
    <row r="29" spans="1:9" ht="32.1" customHeight="1">
      <c r="A29" s="3" t="s">
        <v>57</v>
      </c>
      <c r="B29" s="4" t="s">
        <v>58</v>
      </c>
      <c r="C29" s="5"/>
      <c r="D29" s="6">
        <f>ROUND(Fuentes!I29*0.45359237,0)</f>
        <v>164999</v>
      </c>
      <c r="E29" s="5"/>
      <c r="F29" s="5">
        <f>ROUND(Fuentes!J29*0.3048,2)</f>
        <v>54.07</v>
      </c>
      <c r="G29" s="7">
        <v>2</v>
      </c>
      <c r="H29" s="3"/>
      <c r="I29" s="3" t="s">
        <v>14</v>
      </c>
    </row>
    <row r="30" spans="1:9" ht="32.1" customHeight="1">
      <c r="A30" s="3" t="s">
        <v>59</v>
      </c>
      <c r="B30" s="4" t="s">
        <v>60</v>
      </c>
      <c r="C30" s="5">
        <v>182.3</v>
      </c>
      <c r="D30" s="6">
        <f>ROUND(Fuentes!I30*0.45359237,0)</f>
        <v>115893</v>
      </c>
      <c r="E30" s="5">
        <v>47.3</v>
      </c>
      <c r="F30" s="5">
        <f>ROUND(Fuentes!J30*0.3048,2)</f>
        <v>47.34</v>
      </c>
      <c r="G30" s="7">
        <v>2</v>
      </c>
      <c r="H30" s="3"/>
      <c r="I30" s="3" t="s">
        <v>14</v>
      </c>
    </row>
    <row r="31" spans="1:9" ht="32.1" customHeight="1">
      <c r="A31" s="3" t="s">
        <v>61</v>
      </c>
      <c r="B31" s="4" t="s">
        <v>62</v>
      </c>
      <c r="C31" s="5">
        <v>442</v>
      </c>
      <c r="D31" s="6">
        <f>ROUND(Fuentes!I31*0.45359237,0)</f>
        <v>280000</v>
      </c>
      <c r="E31" s="5">
        <v>66.8</v>
      </c>
      <c r="F31" s="5">
        <f>ROUND(Fuentes!J31*0.3048,2)</f>
        <v>66.61</v>
      </c>
      <c r="G31" s="7">
        <v>2</v>
      </c>
      <c r="H31" s="3"/>
      <c r="I31" s="3" t="s">
        <v>14</v>
      </c>
    </row>
    <row r="32" spans="1:9" ht="32.1" customHeight="1">
      <c r="A32" s="3" t="s">
        <v>63</v>
      </c>
      <c r="B32" s="4" t="s">
        <v>64</v>
      </c>
      <c r="C32" s="5">
        <v>283.3</v>
      </c>
      <c r="D32" s="6">
        <f>ROUND(Fuentes!I32*0.45359237,0)</f>
        <v>186880</v>
      </c>
      <c r="E32" s="5">
        <v>54.94</v>
      </c>
      <c r="F32" s="5">
        <f>ROUND(Fuentes!J32*0.3048,2)</f>
        <v>54.96</v>
      </c>
      <c r="G32" s="7">
        <v>2</v>
      </c>
      <c r="H32" s="3"/>
      <c r="I32" s="3" t="s">
        <v>14</v>
      </c>
    </row>
    <row r="33" spans="1:9" ht="32.1" customHeight="1">
      <c r="A33" s="3" t="s">
        <v>65</v>
      </c>
      <c r="B33" s="4" t="s">
        <v>66</v>
      </c>
      <c r="C33" s="5"/>
      <c r="D33" s="6">
        <f>ROUND(Fuentes!I33*0.45359237,0)</f>
        <v>8150</v>
      </c>
      <c r="E33" s="5"/>
      <c r="F33" s="5">
        <f>ROUND(Fuentes!J33*0.3048,2)</f>
        <v>15.64</v>
      </c>
      <c r="G33" s="7">
        <v>2</v>
      </c>
      <c r="H33" s="3"/>
      <c r="I33" s="3" t="s">
        <v>14</v>
      </c>
    </row>
    <row r="34" spans="1:9" ht="32.1" customHeight="1">
      <c r="A34" s="3" t="s">
        <v>67</v>
      </c>
      <c r="B34" s="4" t="s">
        <v>68</v>
      </c>
      <c r="C34" s="5"/>
      <c r="D34" s="6">
        <f>ROUND(Fuentes!I34*0.45359237,0)</f>
        <v>18416</v>
      </c>
      <c r="E34" s="5"/>
      <c r="F34" s="5">
        <f>ROUND(Fuentes!J34*0.3048,2)</f>
        <v>20.91</v>
      </c>
      <c r="G34" s="7">
        <v>2</v>
      </c>
      <c r="H34" s="3"/>
      <c r="I34" s="3" t="s">
        <v>14</v>
      </c>
    </row>
    <row r="35" spans="1:9" ht="32.1" customHeight="1">
      <c r="A35" s="3" t="s">
        <v>69</v>
      </c>
      <c r="B35" s="4" t="s">
        <v>70</v>
      </c>
      <c r="C35" s="5">
        <v>27.32</v>
      </c>
      <c r="D35" s="6">
        <f>ROUND(Fuentes!I35*0.45359237,0)</f>
        <v>6291</v>
      </c>
      <c r="E35" s="5"/>
      <c r="F35" s="5">
        <f>ROUND(Fuentes!J35*0.3048,2)</f>
        <v>15.61</v>
      </c>
      <c r="G35" s="7">
        <v>2</v>
      </c>
      <c r="H35" s="3"/>
      <c r="I35" s="3" t="s">
        <v>14</v>
      </c>
    </row>
    <row r="36" spans="1:9" ht="32.1" customHeight="1">
      <c r="A36" s="3" t="s">
        <v>71</v>
      </c>
      <c r="B36" s="4" t="s">
        <v>72</v>
      </c>
      <c r="C36" s="5"/>
      <c r="D36" s="6">
        <f>ROUND(Fuentes!I36*0.45359237,0)</f>
        <v>254012</v>
      </c>
      <c r="E36" s="5"/>
      <c r="F36" s="5">
        <f>ROUND(Fuentes!J36*0.3048,2)</f>
        <v>68.31</v>
      </c>
      <c r="G36" s="7">
        <v>2</v>
      </c>
      <c r="H36" s="3"/>
      <c r="I36" s="3" t="s">
        <v>14</v>
      </c>
    </row>
    <row r="37" spans="1:9" ht="32.1" customHeight="1">
      <c r="A37" s="3" t="s">
        <v>73</v>
      </c>
      <c r="B37" s="4" t="s">
        <v>74</v>
      </c>
      <c r="C37" s="5">
        <v>525.6</v>
      </c>
      <c r="D37" s="6">
        <f>ROUND(Fuentes!I37*0.45359237,0)</f>
        <v>412769</v>
      </c>
      <c r="E37" s="5">
        <v>70.66</v>
      </c>
      <c r="F37" s="5">
        <f>ROUND(Fuentes!J37*0.3048,2)</f>
        <v>70.680000000000007</v>
      </c>
      <c r="G37" s="7">
        <v>4</v>
      </c>
      <c r="H37" s="3"/>
      <c r="I37" s="3" t="s">
        <v>14</v>
      </c>
    </row>
    <row r="38" spans="1:9" ht="32.1" customHeight="1">
      <c r="A38" s="3" t="s">
        <v>75</v>
      </c>
      <c r="B38" s="4" t="s">
        <v>76</v>
      </c>
      <c r="C38" s="5">
        <v>124.6</v>
      </c>
      <c r="D38" s="6">
        <f>ROUND(Fuentes!I38*0.45359237,0)</f>
        <v>82191</v>
      </c>
      <c r="E38" s="5">
        <v>39.47</v>
      </c>
      <c r="F38" s="5">
        <f>ROUND(Fuentes!J38*0.3048,2)</f>
        <v>39.53</v>
      </c>
      <c r="G38" s="7">
        <v>2</v>
      </c>
      <c r="H38" s="3"/>
      <c r="I38" s="3" t="s">
        <v>14</v>
      </c>
    </row>
    <row r="39" spans="1:9" ht="32.1" customHeight="1">
      <c r="A39" s="3" t="s">
        <v>77</v>
      </c>
      <c r="B39" s="4" t="s">
        <v>78</v>
      </c>
      <c r="C39" s="5">
        <v>61</v>
      </c>
      <c r="D39" s="6">
        <v>22000</v>
      </c>
      <c r="E39" s="5"/>
      <c r="F39" s="5">
        <v>27.166</v>
      </c>
      <c r="G39" s="7">
        <v>2</v>
      </c>
      <c r="H39" s="3"/>
      <c r="I39" s="3" t="s">
        <v>14</v>
      </c>
    </row>
    <row r="40" spans="1:9" ht="32.1" customHeight="1">
      <c r="A40" s="3" t="s">
        <v>79</v>
      </c>
      <c r="B40" s="4" t="s">
        <v>80</v>
      </c>
      <c r="C40" s="5">
        <v>377</v>
      </c>
      <c r="D40" s="6">
        <f>ROUND(Fuentes!I40*0.45359237,0)</f>
        <v>227930</v>
      </c>
      <c r="E40" s="5">
        <v>56.72</v>
      </c>
      <c r="F40" s="5">
        <f>ROUND(Fuentes!J40*0.3048,2)</f>
        <v>56.72</v>
      </c>
      <c r="G40" s="7">
        <v>2</v>
      </c>
      <c r="H40" s="3"/>
      <c r="I40" s="3" t="s">
        <v>14</v>
      </c>
    </row>
    <row r="41" spans="1:9" ht="32.1" customHeight="1">
      <c r="A41" s="3" t="s">
        <v>81</v>
      </c>
      <c r="B41" s="4" t="s">
        <v>82</v>
      </c>
      <c r="C41" s="5">
        <v>427.8</v>
      </c>
      <c r="D41" s="6">
        <f>ROUND(Fuentes!I41*0.45359237,0)</f>
        <v>297557</v>
      </c>
      <c r="E41" s="5">
        <v>63.73</v>
      </c>
      <c r="F41" s="5">
        <f>ROUND(Fuentes!J41*0.3048,2)</f>
        <v>63.73</v>
      </c>
      <c r="G41" s="7">
        <v>2</v>
      </c>
      <c r="H41" s="3"/>
      <c r="I41" s="3" t="s">
        <v>14</v>
      </c>
    </row>
    <row r="42" spans="1:9" ht="32.1" customHeight="1">
      <c r="A42" s="3"/>
      <c r="B42" s="4"/>
      <c r="C42" s="5"/>
      <c r="D42" s="6"/>
      <c r="E42" s="5"/>
      <c r="F42" s="5"/>
      <c r="G42" s="7"/>
      <c r="H42" s="3"/>
      <c r="I42" s="3" t="s">
        <v>83</v>
      </c>
    </row>
    <row r="43" spans="1:9" ht="32.1" customHeight="1">
      <c r="A43" s="3" t="s">
        <v>84</v>
      </c>
      <c r="B43" s="4" t="s">
        <v>85</v>
      </c>
      <c r="C43" s="5">
        <v>61</v>
      </c>
      <c r="D43" s="6">
        <v>23000</v>
      </c>
      <c r="E43" s="5"/>
      <c r="F43" s="5">
        <v>27.166</v>
      </c>
      <c r="G43" s="7">
        <v>2</v>
      </c>
      <c r="H43" s="3"/>
      <c r="I43" s="3" t="s">
        <v>14</v>
      </c>
    </row>
    <row r="44" spans="1:9" ht="32.1" customHeight="1">
      <c r="A44" s="3" t="s">
        <v>86</v>
      </c>
      <c r="B44" s="4" t="s">
        <v>87</v>
      </c>
      <c r="C44" s="5">
        <v>845</v>
      </c>
      <c r="D44" s="6">
        <f>ROUND(Fuentes!I44*0.45359237,0)</f>
        <v>575000</v>
      </c>
      <c r="E44" s="5">
        <v>72.72</v>
      </c>
      <c r="F44" s="5">
        <f>ROUND(Fuentes!J44*0.3048,2)</f>
        <v>72.73</v>
      </c>
      <c r="G44" s="7">
        <v>4</v>
      </c>
      <c r="H44" s="3"/>
      <c r="I44" s="3" t="s">
        <v>14</v>
      </c>
    </row>
    <row r="45" spans="1:9" ht="32.1" customHeight="1">
      <c r="A45" s="3" t="s">
        <v>88</v>
      </c>
      <c r="B45" s="4" t="s">
        <v>89</v>
      </c>
      <c r="C45" s="5"/>
      <c r="D45" s="6">
        <f>ROUND(Fuentes!I45*0.45359237,0)</f>
        <v>3921</v>
      </c>
      <c r="E45" s="5"/>
      <c r="F45" s="5">
        <f>ROUND(Fuentes!J45*0.3048,2)</f>
        <v>12.37</v>
      </c>
      <c r="G45" s="7">
        <v>2</v>
      </c>
      <c r="H45" s="3"/>
      <c r="I45" s="3" t="s">
        <v>14</v>
      </c>
    </row>
    <row r="46" spans="1:9" ht="32.1" customHeight="1">
      <c r="A46" s="3" t="s">
        <v>90</v>
      </c>
      <c r="B46" s="4" t="s">
        <v>91</v>
      </c>
      <c r="C46" s="5"/>
      <c r="D46" s="6">
        <f>ROUND(Fuentes!I46*0.45359237,0)</f>
        <v>122470</v>
      </c>
      <c r="E46" s="5"/>
      <c r="F46" s="5">
        <f>ROUND(Fuentes!J46*0.3048,2)</f>
        <v>54.44</v>
      </c>
      <c r="G46" s="7">
        <v>2</v>
      </c>
      <c r="H46" s="3"/>
      <c r="I46" s="3" t="s">
        <v>14</v>
      </c>
    </row>
    <row r="47" spans="1:9" ht="32.1" customHeight="1">
      <c r="A47" s="3" t="s">
        <v>92</v>
      </c>
      <c r="B47" s="4" t="s">
        <v>93</v>
      </c>
      <c r="C47" s="5"/>
      <c r="D47" s="6">
        <f>ROUND(Fuentes!I47*0.45359237,0)</f>
        <v>10433</v>
      </c>
      <c r="E47" s="5"/>
      <c r="F47" s="5">
        <f>ROUND(Fuentes!J47*0.3048,2)</f>
        <v>16.920000000000002</v>
      </c>
      <c r="G47" s="7">
        <v>2</v>
      </c>
      <c r="H47" s="3"/>
      <c r="I47" s="3" t="s">
        <v>14</v>
      </c>
    </row>
    <row r="48" spans="1:9" ht="32.1" customHeight="1">
      <c r="A48" s="3" t="s">
        <v>94</v>
      </c>
      <c r="B48" s="4" t="s">
        <v>95</v>
      </c>
      <c r="C48" s="5">
        <v>124.6</v>
      </c>
      <c r="D48" s="6">
        <f>ROUND(Fuentes!I48*0.45359237,0)</f>
        <v>85139</v>
      </c>
      <c r="E48" s="5">
        <v>42.11</v>
      </c>
      <c r="F48" s="5">
        <f>ROUND(Fuentes!J48*0.3048,2)</f>
        <v>42.12</v>
      </c>
      <c r="G48" s="7">
        <v>2</v>
      </c>
      <c r="H48" s="3"/>
      <c r="I48" s="3" t="s">
        <v>14</v>
      </c>
    </row>
    <row r="49" spans="1:9" ht="32.1" customHeight="1">
      <c r="A49" s="3" t="s">
        <v>96</v>
      </c>
      <c r="B49" s="4" t="s">
        <v>97</v>
      </c>
      <c r="C49" s="5"/>
      <c r="D49" s="6">
        <f>ROUND(Fuentes!I49*0.45359237,0)</f>
        <v>42910</v>
      </c>
      <c r="E49" s="5"/>
      <c r="F49" s="5">
        <f>ROUND(Fuentes!J49*0.3048,2)</f>
        <v>29.29</v>
      </c>
      <c r="G49" s="7">
        <v>2</v>
      </c>
      <c r="H49" s="3"/>
      <c r="I49" s="3" t="s">
        <v>14</v>
      </c>
    </row>
    <row r="50" spans="1:9" ht="32.1" customHeight="1">
      <c r="A50" s="3" t="s">
        <v>98</v>
      </c>
      <c r="B50" s="4" t="s">
        <v>99</v>
      </c>
      <c r="C50" s="5">
        <v>30.66</v>
      </c>
      <c r="D50" s="6">
        <f>ROUND(Fuentes!I50*0.45359237,0)</f>
        <v>7761</v>
      </c>
      <c r="E50" s="5"/>
      <c r="F50" s="5">
        <f>ROUND(Fuentes!J50*0.3048,2)</f>
        <v>16.25</v>
      </c>
      <c r="G50" s="7">
        <v>2</v>
      </c>
      <c r="H50" s="3"/>
      <c r="I50" s="3" t="s">
        <v>14</v>
      </c>
    </row>
    <row r="51" spans="1:9" ht="32.1" customHeight="1">
      <c r="A51" s="3" t="s">
        <v>100</v>
      </c>
      <c r="B51" s="4" t="s">
        <v>101</v>
      </c>
      <c r="C51" s="5"/>
      <c r="D51" s="6">
        <f>ROUND(Fuentes!I51*0.45359237,0)</f>
        <v>37500</v>
      </c>
      <c r="E51" s="5"/>
      <c r="F51" s="5">
        <f>ROUND(Fuentes!J51*0.3048,2)</f>
        <v>31.67</v>
      </c>
      <c r="G51" s="7">
        <v>2</v>
      </c>
      <c r="H51" s="3"/>
      <c r="I51" s="3" t="s">
        <v>14</v>
      </c>
    </row>
    <row r="52" spans="1:9" ht="32.1" customHeight="1">
      <c r="A52" s="3" t="s">
        <v>102</v>
      </c>
      <c r="B52" s="4" t="s">
        <v>103</v>
      </c>
      <c r="C52" s="5">
        <v>41.8</v>
      </c>
      <c r="D52" s="6">
        <f>ROUND(Fuentes!I52*0.45359237,0)</f>
        <v>12701</v>
      </c>
      <c r="E52" s="5"/>
      <c r="F52" s="5">
        <f>ROUND(Fuentes!J52*0.3048,2)</f>
        <v>19.72</v>
      </c>
      <c r="G52" s="7">
        <v>2</v>
      </c>
      <c r="H52" s="3"/>
      <c r="I52" s="3" t="s">
        <v>14</v>
      </c>
    </row>
    <row r="53" spans="1:9" ht="32.1" customHeight="1">
      <c r="A53" s="3" t="s">
        <v>104</v>
      </c>
      <c r="B53" s="4" t="s">
        <v>105</v>
      </c>
      <c r="C53" s="5"/>
      <c r="D53" s="6">
        <f>ROUND(Fuentes!I53*0.45359237,0)</f>
        <v>63095</v>
      </c>
      <c r="E53" s="5"/>
      <c r="F53" s="5">
        <f>ROUND(Fuentes!J53*0.3048,2)</f>
        <v>34.99</v>
      </c>
      <c r="G53" s="7">
        <v>2</v>
      </c>
      <c r="H53" s="3"/>
      <c r="I53" s="3" t="s">
        <v>14</v>
      </c>
    </row>
    <row r="54" spans="1:9" ht="32.1" customHeight="1">
      <c r="A54" s="3" t="s">
        <v>106</v>
      </c>
      <c r="B54" s="4" t="s">
        <v>107</v>
      </c>
      <c r="C54" s="5"/>
      <c r="D54" s="6">
        <f>ROUND(Fuentes!I54*0.45359237,0)</f>
        <v>10319</v>
      </c>
      <c r="E54" s="5"/>
      <c r="F54" s="5">
        <f>ROUND(Fuentes!J54*0.3048,2)</f>
        <v>17.89</v>
      </c>
      <c r="G54" s="7">
        <v>2</v>
      </c>
      <c r="H54" s="3"/>
      <c r="I54" s="3" t="s">
        <v>14</v>
      </c>
    </row>
    <row r="55" spans="1:9" ht="32.1" customHeight="1">
      <c r="A55" s="3" t="s">
        <v>108</v>
      </c>
      <c r="B55" s="4" t="s">
        <v>109</v>
      </c>
      <c r="C55" s="5"/>
      <c r="D55" s="6">
        <f>ROUND(Fuentes!I55*0.45359237,0)</f>
        <v>22226</v>
      </c>
      <c r="E55" s="5"/>
      <c r="F55" s="5">
        <f>ROUND(Fuentes!J55*0.3048,2)</f>
        <v>20.21</v>
      </c>
      <c r="G55" s="7">
        <v>3</v>
      </c>
      <c r="H55" s="3"/>
      <c r="I55" s="3" t="s">
        <v>14</v>
      </c>
    </row>
    <row r="56" spans="1:9" ht="32.1" customHeight="1">
      <c r="A56" s="3" t="s">
        <v>110</v>
      </c>
      <c r="B56" s="4" t="s">
        <v>111</v>
      </c>
      <c r="C56" s="5"/>
      <c r="D56" s="6">
        <f>ROUND(Fuentes!I56*0.45359237,0)</f>
        <v>13744</v>
      </c>
      <c r="E56" s="5"/>
      <c r="F56" s="5">
        <f>ROUND(Fuentes!J56*0.3048,2)</f>
        <v>19.350000000000001</v>
      </c>
      <c r="G56" s="7">
        <v>2</v>
      </c>
      <c r="H56" s="3"/>
      <c r="I56" s="3" t="s">
        <v>14</v>
      </c>
    </row>
    <row r="57" spans="1:9" ht="32.1" customHeight="1">
      <c r="A57" s="3" t="s">
        <v>112</v>
      </c>
      <c r="B57" s="4" t="s">
        <v>113</v>
      </c>
      <c r="C57" s="5"/>
      <c r="D57" s="6">
        <f>ROUND(Fuentes!I57*0.45359237,0)</f>
        <v>5670</v>
      </c>
      <c r="E57" s="5"/>
      <c r="F57" s="5">
        <f>ROUND(Fuentes!J57*0.3048,2)</f>
        <v>14.02</v>
      </c>
      <c r="G57" s="7">
        <v>2</v>
      </c>
      <c r="H57" s="3"/>
      <c r="I57" s="3" t="s">
        <v>14</v>
      </c>
    </row>
    <row r="58" spans="1:9" ht="32.1" customHeight="1">
      <c r="A58" s="3" t="s">
        <v>114</v>
      </c>
      <c r="B58" s="4" t="s">
        <v>115</v>
      </c>
      <c r="C58" s="5"/>
      <c r="D58" s="6">
        <f>ROUND(Fuentes!I58*0.45359237,0)</f>
        <v>6713</v>
      </c>
      <c r="E58" s="5"/>
      <c r="F58" s="5">
        <f>ROUND(Fuentes!J58*0.3048,2)</f>
        <v>14.54</v>
      </c>
      <c r="G58" s="7">
        <v>2</v>
      </c>
      <c r="H58" s="3"/>
      <c r="I58" s="3" t="s">
        <v>14</v>
      </c>
    </row>
    <row r="59" spans="1:9" ht="32.1" customHeight="1">
      <c r="A59" s="3" t="s">
        <v>116</v>
      </c>
      <c r="B59" s="4" t="s">
        <v>117</v>
      </c>
      <c r="C59" s="5"/>
      <c r="D59" s="6">
        <f>ROUND(Fuentes!I59*0.45359237,0)</f>
        <v>61500</v>
      </c>
      <c r="E59" s="5"/>
      <c r="F59" s="5">
        <f>ROUND(Fuentes!J59*0.3048,2)</f>
        <v>41.51</v>
      </c>
      <c r="G59" s="7">
        <v>2</v>
      </c>
      <c r="H59" s="3"/>
      <c r="I59" s="3" t="s">
        <v>14</v>
      </c>
    </row>
    <row r="60" spans="1:9" ht="32.1" customHeight="1">
      <c r="A60" s="3" t="s">
        <v>118</v>
      </c>
      <c r="B60" s="4" t="s">
        <v>119</v>
      </c>
      <c r="C60" s="5"/>
      <c r="D60" s="6">
        <f>ROUND(Fuentes!I60*0.45359237,0)</f>
        <v>9163</v>
      </c>
      <c r="E60" s="5"/>
      <c r="F60" s="5">
        <f>ROUND(Fuentes!J60*0.3048,2)</f>
        <v>15.79</v>
      </c>
      <c r="G60" s="7">
        <v>2</v>
      </c>
      <c r="H60" s="3"/>
      <c r="I60" s="3" t="s">
        <v>14</v>
      </c>
    </row>
    <row r="61" spans="1:9" ht="32.1" customHeight="1">
      <c r="A61" s="3" t="s">
        <v>120</v>
      </c>
      <c r="B61" s="4" t="s">
        <v>121</v>
      </c>
      <c r="C61" s="5"/>
      <c r="D61" s="6">
        <f>ROUND(Fuentes!I61*0.45359237,0)</f>
        <v>12701</v>
      </c>
      <c r="E61" s="5"/>
      <c r="F61" s="5">
        <f>ROUND(Fuentes!J61*0.3048,2)</f>
        <v>15.61</v>
      </c>
      <c r="G61" s="7">
        <v>2</v>
      </c>
      <c r="H61" s="3"/>
      <c r="I61" s="3" t="s">
        <v>14</v>
      </c>
    </row>
    <row r="62" spans="1:9" ht="32.1" customHeight="1">
      <c r="A62" s="3" t="s">
        <v>122</v>
      </c>
      <c r="B62" s="4" t="s">
        <v>123</v>
      </c>
      <c r="C62" s="5">
        <v>373.41899999999998</v>
      </c>
      <c r="D62" s="6">
        <f>ROUND(Fuentes!I62*0.45359237,0)</f>
        <v>273289</v>
      </c>
      <c r="E62" s="5"/>
      <c r="F62" s="5">
        <f>ROUND(Fuentes!J62*0.3048,2)</f>
        <v>61.63</v>
      </c>
      <c r="G62" s="7">
        <v>3</v>
      </c>
      <c r="H62" s="3"/>
      <c r="I62" s="3" t="s">
        <v>14</v>
      </c>
    </row>
    <row r="63" spans="1:9" ht="32.1" customHeight="1">
      <c r="A63" s="3" t="s">
        <v>124</v>
      </c>
      <c r="B63" s="4" t="s">
        <v>125</v>
      </c>
      <c r="C63" s="5"/>
      <c r="D63" s="6">
        <f>ROUND(Fuentes!I63*0.45359237,0)</f>
        <v>19232</v>
      </c>
      <c r="E63" s="5"/>
      <c r="F63" s="5">
        <f>ROUND(Fuentes!J63*0.3048,2)</f>
        <v>20.21</v>
      </c>
      <c r="G63" s="7">
        <v>2</v>
      </c>
      <c r="H63" s="3"/>
      <c r="I63" s="3" t="s">
        <v>14</v>
      </c>
    </row>
    <row r="64" spans="1:9" ht="32.1" customHeight="1">
      <c r="A64" s="3" t="s">
        <v>126</v>
      </c>
      <c r="B64" s="4" t="s">
        <v>127</v>
      </c>
      <c r="C64" s="5"/>
      <c r="D64" s="6">
        <f>ROUND(Fuentes!I64*0.45359237,0)</f>
        <v>29257</v>
      </c>
      <c r="E64" s="5"/>
      <c r="F64" s="5">
        <f>ROUND(Fuentes!J64*0.3048,2)</f>
        <v>32.86</v>
      </c>
      <c r="G64" s="7">
        <v>2</v>
      </c>
      <c r="H64" s="3"/>
      <c r="I64" s="3" t="s">
        <v>14</v>
      </c>
    </row>
    <row r="65" spans="1:9" ht="32.1" customHeight="1">
      <c r="A65" s="3" t="s">
        <v>128</v>
      </c>
      <c r="B65" s="4" t="s">
        <v>129</v>
      </c>
      <c r="C65" s="5"/>
      <c r="D65" s="6">
        <f>ROUND(Fuentes!I65*0.45359237,0)</f>
        <v>5670</v>
      </c>
      <c r="E65" s="5"/>
      <c r="F65" s="5">
        <f>ROUND(Fuentes!J65*0.3048,2)</f>
        <v>14.54</v>
      </c>
      <c r="G65" s="7">
        <v>2</v>
      </c>
      <c r="H65" s="3"/>
      <c r="I65" s="3" t="s">
        <v>14</v>
      </c>
    </row>
    <row r="66" spans="1:9" ht="32.1" customHeight="1">
      <c r="A66" s="3" t="s">
        <v>130</v>
      </c>
      <c r="B66" s="4" t="s">
        <v>131</v>
      </c>
      <c r="C66" s="5">
        <v>50.4</v>
      </c>
      <c r="D66" s="6">
        <f>ROUND(Fuentes!I66*0.45359237,0)</f>
        <v>13971</v>
      </c>
      <c r="E66" s="5"/>
      <c r="F66" s="5">
        <f>ROUND(Fuentes!J66*0.3048,2)</f>
        <v>18.989999999999998</v>
      </c>
      <c r="G66" s="7">
        <v>2</v>
      </c>
      <c r="H66" s="3"/>
      <c r="I66" s="3" t="s">
        <v>14</v>
      </c>
    </row>
    <row r="67" spans="1:9" ht="32.1" customHeight="1">
      <c r="A67" s="3" t="s">
        <v>132</v>
      </c>
      <c r="B67" s="4" t="s">
        <v>133</v>
      </c>
      <c r="C67" s="5">
        <v>28.95</v>
      </c>
      <c r="D67" s="6">
        <f>ROUND(Fuentes!I67*0.45359237,0)</f>
        <v>9752</v>
      </c>
      <c r="E67" s="5"/>
      <c r="F67" s="5">
        <f>ROUND(Fuentes!J67*0.3048,2)</f>
        <v>17.68</v>
      </c>
      <c r="G67" s="7">
        <v>2</v>
      </c>
      <c r="H67" s="3"/>
      <c r="I67" s="3" t="s">
        <v>14</v>
      </c>
    </row>
    <row r="68" spans="1:9" ht="32.1" customHeight="1">
      <c r="A68" s="3" t="s">
        <v>134</v>
      </c>
      <c r="B68" s="4"/>
      <c r="C68" s="5"/>
      <c r="D68" s="6"/>
      <c r="E68" s="5"/>
      <c r="F68" s="5"/>
      <c r="G68" s="7"/>
      <c r="H68" s="3"/>
      <c r="I68" s="3" t="s">
        <v>83</v>
      </c>
    </row>
    <row r="69" spans="1:9" ht="32.1" customHeight="1">
      <c r="A69" s="3" t="s">
        <v>135</v>
      </c>
      <c r="B69" s="4" t="s">
        <v>136</v>
      </c>
      <c r="C69" s="5"/>
      <c r="D69" s="6">
        <f>ROUND(Fuentes!I69*0.45359237,0)</f>
        <v>20000</v>
      </c>
      <c r="E69" s="5"/>
      <c r="F69" s="5">
        <f>ROUND(Fuentes!J69*0.3048,2)</f>
        <v>26.33</v>
      </c>
      <c r="G69" s="7">
        <v>2</v>
      </c>
      <c r="H69" s="3"/>
      <c r="I69" s="3" t="s">
        <v>14</v>
      </c>
    </row>
    <row r="70" spans="1:9" ht="32.1" customHeight="1">
      <c r="A70" s="3" t="s">
        <v>137</v>
      </c>
      <c r="B70" s="4" t="s">
        <v>138</v>
      </c>
      <c r="C70" s="5"/>
      <c r="D70" s="6">
        <f>ROUND(Fuentes!I70*0.45359237,0)</f>
        <v>4740</v>
      </c>
      <c r="E70" s="5"/>
      <c r="F70" s="5">
        <f>ROUND(Fuentes!J70*0.3048,2)</f>
        <v>14.42</v>
      </c>
      <c r="G70" s="7">
        <v>1</v>
      </c>
      <c r="H70" s="3"/>
      <c r="I70" s="3" t="s">
        <v>14</v>
      </c>
    </row>
    <row r="71" spans="1:9" ht="32.1" customHeight="1">
      <c r="A71" s="3" t="s">
        <v>139</v>
      </c>
      <c r="B71" s="4" t="s">
        <v>140</v>
      </c>
      <c r="C71" s="5"/>
      <c r="D71" s="6">
        <f>ROUND(Fuentes!I71*0.45359237,0)</f>
        <v>8301</v>
      </c>
      <c r="E71" s="5"/>
      <c r="F71" s="5">
        <f>ROUND(Fuentes!J71*0.3048,2)</f>
        <v>16.86</v>
      </c>
      <c r="G71" s="7">
        <v>2</v>
      </c>
      <c r="H71" s="3"/>
      <c r="I71" s="3" t="s">
        <v>14</v>
      </c>
    </row>
    <row r="72" spans="1:9" ht="32.1" customHeight="1">
      <c r="A72" s="3" t="s">
        <v>141</v>
      </c>
      <c r="B72" s="4" t="s">
        <v>142</v>
      </c>
      <c r="C72" s="5"/>
      <c r="D72" s="6">
        <f>ROUND(Fuentes!I72*0.45359237,0)</f>
        <v>21591</v>
      </c>
      <c r="E72" s="5"/>
      <c r="F72" s="5">
        <f>ROUND(Fuentes!J72*0.3048,2)</f>
        <v>20.85</v>
      </c>
      <c r="G72" s="7">
        <v>2</v>
      </c>
      <c r="H72" s="3"/>
      <c r="I72" s="3" t="s">
        <v>14</v>
      </c>
    </row>
    <row r="73" spans="1:9" ht="32.1" customHeight="1">
      <c r="A73" s="3" t="s">
        <v>143</v>
      </c>
      <c r="B73" s="4" t="s">
        <v>144</v>
      </c>
      <c r="C73" s="5"/>
      <c r="D73" s="6">
        <f>ROUND(Fuentes!I73*0.45359237,0)</f>
        <v>45132</v>
      </c>
      <c r="E73" s="5"/>
      <c r="F73" s="5">
        <f>ROUND(Fuentes!J73*0.3048,2)</f>
        <v>30.3</v>
      </c>
      <c r="G73" s="7">
        <v>2</v>
      </c>
      <c r="H73" s="3"/>
      <c r="I73" s="3" t="s">
        <v>14</v>
      </c>
    </row>
    <row r="74" spans="1:9" ht="32.1" customHeight="1">
      <c r="A74" s="3" t="s">
        <v>145</v>
      </c>
      <c r="B74" s="4" t="s">
        <v>146</v>
      </c>
      <c r="C74" s="5">
        <v>124.6</v>
      </c>
      <c r="D74" s="6">
        <f>ROUND(Fuentes!I74*0.45359237,0)</f>
        <v>70080</v>
      </c>
      <c r="E74" s="5">
        <v>33.6</v>
      </c>
      <c r="F74" s="5">
        <f>ROUND(Fuentes!J74*0.3048,2)</f>
        <v>33.619999999999997</v>
      </c>
      <c r="G74" s="7">
        <v>2</v>
      </c>
      <c r="H74" s="3"/>
      <c r="I74" s="3" t="s">
        <v>14</v>
      </c>
    </row>
    <row r="75" spans="1:9" ht="32.1" customHeight="1">
      <c r="A75" s="3" t="s">
        <v>147</v>
      </c>
      <c r="B75" s="4" t="s">
        <v>148</v>
      </c>
      <c r="C75" s="5">
        <v>124.6</v>
      </c>
      <c r="D75" s="6">
        <f>ROUND(Fuentes!I75*0.45359237,0)</f>
        <v>88314</v>
      </c>
      <c r="E75" s="5">
        <v>42.11</v>
      </c>
      <c r="F75" s="5">
        <f>ROUND(Fuentes!J75*0.3048,2)</f>
        <v>42.15</v>
      </c>
      <c r="G75" s="7">
        <v>2</v>
      </c>
      <c r="H75" s="3"/>
      <c r="I75" s="3" t="s">
        <v>14</v>
      </c>
    </row>
    <row r="76" spans="1:9" ht="32.1" customHeight="1">
      <c r="A76" s="3" t="s">
        <v>149</v>
      </c>
      <c r="B76" s="4" t="s">
        <v>150</v>
      </c>
      <c r="C76" s="5"/>
      <c r="D76" s="6">
        <f>ROUND(Fuentes!I76*0.45359237,0)</f>
        <v>17962</v>
      </c>
      <c r="E76" s="5"/>
      <c r="F76" s="5">
        <f>ROUND(Fuentes!J76*0.3048,2)</f>
        <v>20.36</v>
      </c>
      <c r="G76" s="7">
        <v>2</v>
      </c>
      <c r="H76" s="3"/>
      <c r="I76" s="3" t="s">
        <v>14</v>
      </c>
    </row>
    <row r="77" spans="1:9" ht="32.1" customHeight="1">
      <c r="A77" s="3" t="s">
        <v>151</v>
      </c>
      <c r="B77" s="4" t="s">
        <v>152</v>
      </c>
      <c r="C77" s="5"/>
      <c r="D77" s="6">
        <f>ROUND(Fuentes!I77*0.45359237,0)</f>
        <v>41957</v>
      </c>
      <c r="E77" s="5"/>
      <c r="F77" s="5">
        <f>ROUND(Fuentes!J77*0.3048,2)</f>
        <v>29.5</v>
      </c>
      <c r="G77" s="7">
        <v>2</v>
      </c>
      <c r="H77" s="3"/>
      <c r="I77" s="3" t="s">
        <v>14</v>
      </c>
    </row>
    <row r="78" spans="1:9" ht="32.1" customHeight="1">
      <c r="A78" s="3" t="s">
        <v>153</v>
      </c>
      <c r="B78" s="4" t="s">
        <v>154</v>
      </c>
      <c r="C78" s="5"/>
      <c r="D78" s="6">
        <f>ROUND(Fuentes!I78*0.45359237,0)</f>
        <v>16171</v>
      </c>
      <c r="E78" s="5"/>
      <c r="F78" s="5">
        <f>ROUND(Fuentes!J78*0.3048,2)</f>
        <v>18.989999999999998</v>
      </c>
      <c r="G78" s="7">
        <v>2</v>
      </c>
      <c r="H78" s="3"/>
      <c r="I78" s="3" t="s">
        <v>14</v>
      </c>
    </row>
    <row r="79" spans="1:9" ht="32.1" customHeight="1">
      <c r="A79" s="3" t="s">
        <v>155</v>
      </c>
      <c r="B79" s="4" t="s">
        <v>156</v>
      </c>
      <c r="C79" s="5"/>
      <c r="D79" s="6">
        <f>ROUND(Fuentes!I79*0.45359237,0)</f>
        <v>15660</v>
      </c>
      <c r="E79" s="5"/>
      <c r="F79" s="5">
        <f>ROUND(Fuentes!J79*0.3048,2)</f>
        <v>21.24</v>
      </c>
      <c r="G79" s="7">
        <v>2</v>
      </c>
      <c r="H79" s="3"/>
      <c r="I79" s="3" t="s">
        <v>14</v>
      </c>
    </row>
    <row r="80" spans="1:9" ht="32.1" customHeight="1">
      <c r="A80" s="3" t="s">
        <v>157</v>
      </c>
      <c r="B80" s="4" t="s">
        <v>158</v>
      </c>
      <c r="C80" s="5">
        <v>22.3</v>
      </c>
      <c r="D80" s="6">
        <f>ROUND(Fuentes!I80*0.45359237,0)</f>
        <v>4853</v>
      </c>
      <c r="E80" s="5"/>
      <c r="F80" s="5">
        <f>ROUND(Fuentes!J80*0.3048,2)</f>
        <v>12.98</v>
      </c>
      <c r="G80" s="7">
        <v>2</v>
      </c>
      <c r="H80" s="3"/>
      <c r="I80" s="3" t="s">
        <v>14</v>
      </c>
    </row>
    <row r="81" spans="1:9" ht="32.1" customHeight="1">
      <c r="A81" s="3" t="s">
        <v>159</v>
      </c>
      <c r="B81" s="4" t="s">
        <v>160</v>
      </c>
      <c r="C81" s="5"/>
      <c r="D81" s="6">
        <f>ROUND(Fuentes!I81*0.45359237,0)</f>
        <v>7303</v>
      </c>
      <c r="E81" s="5"/>
      <c r="F81" s="5">
        <f>ROUND(Fuentes!J81*0.3048,2)</f>
        <v>14.75</v>
      </c>
      <c r="G81" s="7">
        <v>2</v>
      </c>
      <c r="H81" s="3"/>
      <c r="I81" s="3" t="s">
        <v>14</v>
      </c>
    </row>
    <row r="82" spans="1:9" ht="32.1" customHeight="1">
      <c r="A82" s="3" t="s">
        <v>161</v>
      </c>
      <c r="B82" s="4" t="s">
        <v>162</v>
      </c>
      <c r="C82" s="5"/>
      <c r="D82" s="6">
        <f>ROUND(Fuentes!I82*0.45359237,0)</f>
        <v>21523</v>
      </c>
      <c r="E82" s="5"/>
      <c r="F82" s="5">
        <f>ROUND(Fuentes!J82*0.3048,2)</f>
        <v>26.76</v>
      </c>
      <c r="G82" s="7">
        <v>2</v>
      </c>
      <c r="H82" s="3"/>
      <c r="I82" s="3" t="s">
        <v>14</v>
      </c>
    </row>
    <row r="83" spans="1:9" ht="32.1" customHeight="1">
      <c r="A83" s="3" t="s">
        <v>163</v>
      </c>
      <c r="B83" s="4" t="s">
        <v>164</v>
      </c>
      <c r="C83" s="5">
        <v>91.04</v>
      </c>
      <c r="D83" s="6">
        <f>ROUND(Fuentes!I83*0.45359237,0)</f>
        <v>68039</v>
      </c>
      <c r="E83" s="5">
        <v>33.4</v>
      </c>
      <c r="F83" s="5">
        <f>ROUND(Fuentes!J83*0.3048,2)</f>
        <v>36.450000000000003</v>
      </c>
      <c r="G83" s="7">
        <v>2</v>
      </c>
      <c r="H83" s="3"/>
      <c r="I83" s="3" t="s">
        <v>14</v>
      </c>
    </row>
    <row r="84" spans="1:9" ht="32.1" customHeight="1">
      <c r="A84" s="3" t="s">
        <v>165</v>
      </c>
      <c r="B84" s="4" t="s">
        <v>166</v>
      </c>
      <c r="C84" s="5"/>
      <c r="D84" s="6">
        <f>ROUND(Fuentes!I84*0.45359237,0)</f>
        <v>5466</v>
      </c>
      <c r="E84" s="5"/>
      <c r="F84" s="5">
        <f>ROUND(Fuentes!J84*0.3048,2)</f>
        <v>14.42</v>
      </c>
      <c r="G84" s="7">
        <v>2</v>
      </c>
      <c r="H84" s="3"/>
      <c r="I84" s="3" t="s">
        <v>14</v>
      </c>
    </row>
    <row r="85" spans="1:9" ht="32.1" customHeight="1">
      <c r="A85" s="3" t="s">
        <v>167</v>
      </c>
      <c r="B85" s="4" t="s">
        <v>168</v>
      </c>
      <c r="C85" s="5"/>
      <c r="D85" s="6">
        <f>ROUND(Fuentes!I85*0.45359237,0)</f>
        <v>65544</v>
      </c>
      <c r="E85" s="5"/>
      <c r="F85" s="5">
        <f>ROUND(Fuentes!J85*0.3048,2)</f>
        <v>31.24</v>
      </c>
      <c r="G85" s="7">
        <v>2</v>
      </c>
      <c r="H85" s="3"/>
      <c r="I85" s="3" t="s">
        <v>14</v>
      </c>
    </row>
    <row r="86" spans="1:9" ht="32.1" customHeight="1">
      <c r="A86" s="3" t="s">
        <v>169</v>
      </c>
      <c r="B86" s="4" t="s">
        <v>170</v>
      </c>
      <c r="C86" s="5">
        <v>119.2</v>
      </c>
      <c r="D86" s="6">
        <f>ROUND(Fuentes!I86*0.45359237,0)</f>
        <v>45178</v>
      </c>
      <c r="E86" s="5">
        <v>30.41</v>
      </c>
      <c r="F86" s="5">
        <f>ROUND(Fuentes!J86*0.3048,2)</f>
        <v>30.42</v>
      </c>
      <c r="G86" s="7">
        <v>2</v>
      </c>
      <c r="H86" s="3"/>
      <c r="I86" s="3" t="s">
        <v>14</v>
      </c>
    </row>
    <row r="87" spans="1:9" ht="32.1" customHeight="1">
      <c r="A87" s="3" t="s">
        <v>171</v>
      </c>
      <c r="B87" s="4" t="s">
        <v>172</v>
      </c>
      <c r="C87" s="5">
        <v>48.5</v>
      </c>
      <c r="D87" s="6">
        <f>ROUND(Fuentes!I87*0.45359237,0)</f>
        <v>17622</v>
      </c>
      <c r="E87" s="5"/>
      <c r="F87" s="5">
        <f>ROUND(Fuentes!J87*0.3048,2)</f>
        <v>20.97</v>
      </c>
      <c r="G87" s="7">
        <v>2</v>
      </c>
      <c r="H87" s="3"/>
      <c r="I87" s="3" t="s">
        <v>14</v>
      </c>
    </row>
    <row r="88" spans="1:9" ht="32.1" customHeight="1">
      <c r="A88" s="3" t="s">
        <v>173</v>
      </c>
      <c r="B88" s="4" t="s">
        <v>174</v>
      </c>
      <c r="C88" s="5"/>
      <c r="D88" s="6">
        <f>ROUND(Fuentes!I88*0.45359237,0)</f>
        <v>56400</v>
      </c>
      <c r="E88" s="5"/>
      <c r="F88" s="5">
        <f>ROUND(Fuentes!J88*0.3048,2)</f>
        <v>36.21</v>
      </c>
      <c r="G88" s="7">
        <v>2</v>
      </c>
      <c r="H88" s="3"/>
      <c r="I88" s="3" t="s">
        <v>14</v>
      </c>
    </row>
    <row r="89" spans="1:9" ht="32.1" customHeight="1">
      <c r="A89" s="3" t="s">
        <v>175</v>
      </c>
      <c r="B89" s="4" t="s">
        <v>176</v>
      </c>
      <c r="C89" s="5">
        <v>49.91</v>
      </c>
      <c r="D89" s="6">
        <f>ROUND(Fuentes!I89*0.45359237,0)</f>
        <v>17917</v>
      </c>
      <c r="E89" s="5"/>
      <c r="F89" s="5">
        <f>ROUND(Fuentes!J89*0.3048,2)</f>
        <v>22.31</v>
      </c>
      <c r="G89" s="7">
        <v>2</v>
      </c>
      <c r="H89" s="3"/>
      <c r="I89" s="3" t="s">
        <v>14</v>
      </c>
    </row>
    <row r="90" spans="1:9" ht="32.1" customHeight="1">
      <c r="A90" s="3" t="s">
        <v>177</v>
      </c>
      <c r="B90" s="4" t="s">
        <v>178</v>
      </c>
      <c r="C90" s="5">
        <v>40</v>
      </c>
      <c r="D90" s="6">
        <f>ROUND(Fuentes!I90*0.45359237,0)</f>
        <v>13990</v>
      </c>
      <c r="E90" s="5"/>
      <c r="F90" s="5">
        <f>ROUND(Fuentes!J90*0.3048,2)</f>
        <v>21.28</v>
      </c>
      <c r="G90" s="7">
        <v>2</v>
      </c>
      <c r="H90" s="3"/>
      <c r="I90" s="3" t="s">
        <v>14</v>
      </c>
    </row>
    <row r="91" spans="1:9" ht="32.1" customHeight="1">
      <c r="A91" s="3" t="s">
        <v>179</v>
      </c>
      <c r="B91" s="4" t="s">
        <v>180</v>
      </c>
      <c r="C91" s="5"/>
      <c r="D91" s="6">
        <f>ROUND(Fuentes!I91*0.45359237,0)</f>
        <v>33112</v>
      </c>
      <c r="E91" s="5"/>
      <c r="F91" s="5">
        <f>ROUND(Fuentes!J91*0.3048,2)</f>
        <v>24.44</v>
      </c>
      <c r="G91" s="7">
        <v>3</v>
      </c>
      <c r="H91" s="3"/>
      <c r="I91" s="3" t="s">
        <v>14</v>
      </c>
    </row>
    <row r="92" spans="1:9" ht="32.1" customHeight="1">
      <c r="A92" s="3" t="s">
        <v>181</v>
      </c>
      <c r="B92" s="4" t="s">
        <v>182</v>
      </c>
      <c r="C92" s="5"/>
      <c r="D92" s="6">
        <f>ROUND(Fuentes!I92*0.45359237,0)</f>
        <v>17400</v>
      </c>
      <c r="E92" s="5"/>
      <c r="F92" s="5">
        <f>ROUND(Fuentes!J92*0.3048,2)</f>
        <v>20.73</v>
      </c>
      <c r="G92" s="7">
        <v>2</v>
      </c>
      <c r="H92" s="3"/>
      <c r="I92" s="3" t="s">
        <v>14</v>
      </c>
    </row>
    <row r="93" spans="1:9" ht="32.1" customHeight="1">
      <c r="A93" s="3" t="s">
        <v>183</v>
      </c>
      <c r="B93" s="4" t="s">
        <v>184</v>
      </c>
      <c r="C93" s="5"/>
      <c r="D93" s="6">
        <f>ROUND(Fuentes!I93*0.45359237,0)</f>
        <v>48194</v>
      </c>
      <c r="E93" s="5"/>
      <c r="F93" s="5">
        <f>ROUND(Fuentes!J93*0.3048,2)</f>
        <v>33.71</v>
      </c>
      <c r="G93" s="7">
        <v>2</v>
      </c>
      <c r="H93" s="3"/>
      <c r="I93" s="3" t="s">
        <v>14</v>
      </c>
    </row>
    <row r="94" spans="1:9" ht="32.1" customHeight="1">
      <c r="A94" s="3" t="s">
        <v>185</v>
      </c>
      <c r="B94" s="4" t="s">
        <v>186</v>
      </c>
      <c r="C94" s="5">
        <v>28.985700000000001</v>
      </c>
      <c r="D94" s="6">
        <f>ROUND(Fuentes!I94*0.45359237,0)</f>
        <v>7766</v>
      </c>
      <c r="E94" s="5"/>
      <c r="F94" s="5">
        <f>ROUND(Fuentes!J94*0.3048,2)</f>
        <v>17.59</v>
      </c>
      <c r="G94" s="7">
        <v>2</v>
      </c>
      <c r="H94" s="3"/>
      <c r="I94" s="3" t="s">
        <v>14</v>
      </c>
    </row>
    <row r="95" spans="1:9" ht="32.1" customHeight="1">
      <c r="A95" s="3" t="s">
        <v>187</v>
      </c>
      <c r="B95" s="4" t="s">
        <v>188</v>
      </c>
      <c r="C95" s="5">
        <v>219</v>
      </c>
      <c r="D95" s="6">
        <f>ROUND(Fuentes!I95*0.45359237,0)</f>
        <v>144000</v>
      </c>
      <c r="E95" s="5"/>
      <c r="F95" s="5">
        <f>ROUND(Fuentes!J95*0.3048,2)</f>
        <v>46.7</v>
      </c>
      <c r="G95" s="7">
        <v>2</v>
      </c>
      <c r="H95" s="3"/>
      <c r="I95" s="3" t="s">
        <v>14</v>
      </c>
    </row>
    <row r="96" spans="1:9" ht="32.1" customHeight="1">
      <c r="A96" s="3" t="s">
        <v>189</v>
      </c>
      <c r="B96" s="4" t="s">
        <v>190</v>
      </c>
      <c r="C96" s="5"/>
      <c r="D96" s="6">
        <f>ROUND(Fuentes!I96*0.45359237,0)</f>
        <v>4853</v>
      </c>
      <c r="E96" s="5"/>
      <c r="F96" s="5">
        <f>ROUND(Fuentes!J96*0.3048,2)</f>
        <v>12.98</v>
      </c>
      <c r="G96" s="7">
        <v>2</v>
      </c>
      <c r="H96" s="3"/>
      <c r="I96" s="3" t="s">
        <v>14</v>
      </c>
    </row>
    <row r="97" spans="1:9" ht="32.1" customHeight="1">
      <c r="A97" s="3" t="s">
        <v>191</v>
      </c>
      <c r="B97" s="4" t="s">
        <v>192</v>
      </c>
      <c r="C97" s="5"/>
      <c r="D97" s="6">
        <f>ROUND(Fuentes!I97*0.45359237,0)</f>
        <v>14107</v>
      </c>
      <c r="E97" s="5"/>
      <c r="F97" s="5">
        <f>ROUND(Fuentes!J97*0.3048,2)</f>
        <v>16.43</v>
      </c>
      <c r="G97" s="7">
        <v>2</v>
      </c>
      <c r="H97" s="3"/>
      <c r="I97" s="3" t="s">
        <v>14</v>
      </c>
    </row>
    <row r="98" spans="1:9" ht="32.1" customHeight="1">
      <c r="A98" s="3" t="s">
        <v>193</v>
      </c>
      <c r="B98" s="4" t="s">
        <v>194</v>
      </c>
      <c r="C98" s="5"/>
      <c r="D98" s="6">
        <f>ROUND(Fuentes!I98*0.45359237,0)</f>
        <v>41050</v>
      </c>
      <c r="E98" s="5"/>
      <c r="F98" s="5">
        <f>ROUND(Fuentes!J98*0.3048,2)</f>
        <v>29.38</v>
      </c>
      <c r="G98" s="7">
        <v>2</v>
      </c>
      <c r="H98" s="3"/>
      <c r="I98" s="3" t="s">
        <v>14</v>
      </c>
    </row>
    <row r="99" spans="1:9" ht="32.1" customHeight="1">
      <c r="A99" s="3" t="s">
        <v>195</v>
      </c>
      <c r="B99" s="4" t="s">
        <v>196</v>
      </c>
      <c r="C99" s="5"/>
      <c r="D99" s="6">
        <f>ROUND(Fuentes!I99*0.45359237,0)</f>
        <v>31751</v>
      </c>
      <c r="E99" s="5"/>
      <c r="F99" s="5">
        <f>ROUND(Fuentes!J99*0.3048,2)</f>
        <v>23.2</v>
      </c>
      <c r="G99" s="7">
        <v>3</v>
      </c>
      <c r="H99" s="3"/>
      <c r="I99" s="3" t="s">
        <v>14</v>
      </c>
    </row>
    <row r="100" spans="1:9" ht="32.1" customHeight="1">
      <c r="A100" s="3" t="s">
        <v>197</v>
      </c>
      <c r="B100" s="4" t="s">
        <v>198</v>
      </c>
      <c r="C100" s="5"/>
      <c r="D100" s="6">
        <f>ROUND(Fuentes!I100*0.45359237,0)</f>
        <v>33203</v>
      </c>
      <c r="E100" s="5"/>
      <c r="F100" s="5">
        <f>ROUND(Fuentes!J100*0.3048,2)</f>
        <v>26.91</v>
      </c>
      <c r="G100" s="7">
        <v>2</v>
      </c>
      <c r="H100" s="3"/>
      <c r="I100" s="3" t="s">
        <v>14</v>
      </c>
    </row>
    <row r="101" spans="1:9" ht="32.1" customHeight="1">
      <c r="A101" s="3" t="s">
        <v>199</v>
      </c>
      <c r="B101" s="4" t="s">
        <v>200</v>
      </c>
      <c r="C101" s="5">
        <v>28.8</v>
      </c>
      <c r="D101" s="6">
        <f>ROUND(Fuentes!I101*0.45359237,0)</f>
        <v>5670</v>
      </c>
      <c r="E101" s="5"/>
      <c r="F101" s="5">
        <f>ROUND(Fuentes!J101*0.3048,2)</f>
        <v>13.35</v>
      </c>
      <c r="G101" s="7">
        <v>2</v>
      </c>
      <c r="H101" s="3"/>
      <c r="I101" s="3" t="s">
        <v>14</v>
      </c>
    </row>
    <row r="102" spans="1:9" ht="32.1" customHeight="1">
      <c r="A102" s="3" t="s">
        <v>201</v>
      </c>
      <c r="B102" s="4" t="s">
        <v>202</v>
      </c>
      <c r="C102" s="5"/>
      <c r="D102" s="6">
        <f>ROUND(Fuentes!I102*0.45359237,0)</f>
        <v>3000</v>
      </c>
      <c r="E102" s="5"/>
      <c r="F102" s="5">
        <f>ROUND(Fuentes!J102*0.3048,2)</f>
        <v>10.64</v>
      </c>
      <c r="G102" s="7">
        <v>1</v>
      </c>
      <c r="H102" s="3"/>
      <c r="I102" s="3" t="s">
        <v>14</v>
      </c>
    </row>
    <row r="103" spans="1:9" ht="32.1" customHeight="1">
      <c r="A103" s="3" t="s">
        <v>203</v>
      </c>
      <c r="B103" s="4" t="s">
        <v>204</v>
      </c>
      <c r="C103" s="5"/>
      <c r="D103" s="6">
        <f>ROUND(Fuentes!I103*0.45359237,0)</f>
        <v>5080</v>
      </c>
      <c r="E103" s="5"/>
      <c r="F103" s="5">
        <f>ROUND(Fuentes!J103*0.3048,2)</f>
        <v>13.23</v>
      </c>
      <c r="G103" s="7">
        <v>2</v>
      </c>
      <c r="H103" s="3"/>
      <c r="I103" s="3" t="s">
        <v>14</v>
      </c>
    </row>
    <row r="104" spans="1:9" ht="32.1" customHeight="1">
      <c r="A104" s="3" t="s">
        <v>205</v>
      </c>
      <c r="B104" s="4" t="s">
        <v>206</v>
      </c>
      <c r="C104" s="5"/>
      <c r="D104" s="6">
        <f>ROUND(Fuentes!I104*0.45359237,0)</f>
        <v>3901</v>
      </c>
      <c r="E104" s="5"/>
      <c r="F104" s="5">
        <f>ROUND(Fuentes!J104*0.3048,2)</f>
        <v>10.91</v>
      </c>
      <c r="G104" s="7">
        <v>2</v>
      </c>
      <c r="H104" s="3"/>
      <c r="I104" s="3" t="s">
        <v>14</v>
      </c>
    </row>
    <row r="105" spans="1:9" ht="32.1" customHeight="1">
      <c r="A105" s="3" t="s">
        <v>207</v>
      </c>
      <c r="B105" s="4" t="s">
        <v>208</v>
      </c>
      <c r="C105" s="5"/>
      <c r="D105" s="6">
        <f>ROUND(Fuentes!I105*0.45359237,0)</f>
        <v>142882</v>
      </c>
      <c r="E105" s="5"/>
      <c r="F105" s="5">
        <f>ROUND(Fuentes!J105*0.3048,2)</f>
        <v>48.52</v>
      </c>
      <c r="G105" s="7">
        <v>2</v>
      </c>
      <c r="H105" s="3"/>
      <c r="I105" s="3" t="s">
        <v>14</v>
      </c>
    </row>
    <row r="106" spans="1:9" ht="32.1" customHeight="1">
      <c r="A106" s="3" t="s">
        <v>209</v>
      </c>
      <c r="B106" s="4" t="s">
        <v>210</v>
      </c>
      <c r="C106" s="5"/>
      <c r="D106" s="6">
        <f>ROUND(Fuentes!I106*0.45359237,0)</f>
        <v>204117</v>
      </c>
      <c r="E106" s="5"/>
      <c r="F106" s="5">
        <f>ROUND(Fuentes!J106*0.3048,2)</f>
        <v>61.36</v>
      </c>
      <c r="G106" s="7">
        <v>2</v>
      </c>
      <c r="H106" s="3"/>
      <c r="I106" s="3" t="s">
        <v>14</v>
      </c>
    </row>
    <row r="107" spans="1:9" ht="32.1" customHeight="1">
      <c r="A107" s="3" t="s">
        <v>211</v>
      </c>
      <c r="B107" s="4" t="s">
        <v>212</v>
      </c>
      <c r="C107" s="5"/>
      <c r="D107" s="6">
        <f>ROUND(Fuentes!I107*0.45359237,0)</f>
        <v>8301</v>
      </c>
      <c r="E107" s="5"/>
      <c r="F107" s="5">
        <f>ROUND(Fuentes!J107*0.3048,2)</f>
        <v>14.84</v>
      </c>
      <c r="G107" s="7">
        <v>2</v>
      </c>
      <c r="H107" s="3"/>
      <c r="I107" s="3" t="s">
        <v>14</v>
      </c>
    </row>
    <row r="108" spans="1:9" ht="32.1" customHeight="1">
      <c r="A108" s="3" t="s">
        <v>213</v>
      </c>
      <c r="B108" s="4" t="s">
        <v>214</v>
      </c>
      <c r="C108" s="5"/>
      <c r="D108" s="6">
        <f>ROUND(Fuentes!I108*0.45359237,0)</f>
        <v>380000</v>
      </c>
      <c r="E108" s="5"/>
      <c r="F108" s="5">
        <f>ROUND(Fuentes!J108*0.3048,2)</f>
        <v>67.94</v>
      </c>
      <c r="G108" s="7">
        <v>4</v>
      </c>
      <c r="H108" s="3"/>
      <c r="I108" s="3" t="s">
        <v>14</v>
      </c>
    </row>
    <row r="109" spans="1:9" ht="32.1" customHeight="1">
      <c r="A109" s="3" t="s">
        <v>215</v>
      </c>
      <c r="B109" s="4" t="s">
        <v>216</v>
      </c>
      <c r="C109" s="5"/>
      <c r="D109" s="6">
        <f>ROUND(Fuentes!I109*0.45359237,0)</f>
        <v>8845</v>
      </c>
      <c r="E109" s="5"/>
      <c r="F109" s="5">
        <f>ROUND(Fuentes!J109*0.3048,2)</f>
        <v>16.79</v>
      </c>
      <c r="G109" s="7">
        <v>2</v>
      </c>
      <c r="H109" s="3"/>
      <c r="I109" s="3" t="s">
        <v>14</v>
      </c>
    </row>
    <row r="110" spans="1:9" ht="32.1" customHeight="1">
      <c r="A110" s="3" t="s">
        <v>217</v>
      </c>
      <c r="B110" s="4" t="s">
        <v>218</v>
      </c>
      <c r="C110" s="5">
        <v>51.18</v>
      </c>
      <c r="D110" s="6">
        <f>ROUND(Fuentes!I110*0.45359237,0)</f>
        <v>20200</v>
      </c>
      <c r="E110" s="5"/>
      <c r="F110" s="5">
        <f>ROUND(Fuentes!J110*0.3048,2)</f>
        <v>28.47</v>
      </c>
      <c r="G110" s="7">
        <v>2</v>
      </c>
      <c r="H110" s="3"/>
      <c r="I110" s="3" t="s">
        <v>14</v>
      </c>
    </row>
    <row r="111" spans="1:9" ht="32.1" customHeight="1">
      <c r="A111" s="3" t="s">
        <v>219</v>
      </c>
      <c r="B111" s="4" t="s">
        <v>220</v>
      </c>
      <c r="C111" s="5"/>
      <c r="D111" s="6">
        <f>ROUND(Fuentes!I111*0.45359237,0)</f>
        <v>227000</v>
      </c>
      <c r="E111" s="5"/>
      <c r="F111" s="5">
        <f>ROUND(Fuentes!J111*0.3048,2)</f>
        <v>63.09</v>
      </c>
      <c r="G111" s="7">
        <v>2</v>
      </c>
      <c r="H111" s="3"/>
      <c r="I111" s="3" t="s">
        <v>14</v>
      </c>
    </row>
    <row r="112" spans="1:9" ht="32.1" customHeight="1">
      <c r="A112" s="3" t="s">
        <v>221</v>
      </c>
      <c r="B112" s="4" t="s">
        <v>222</v>
      </c>
      <c r="C112" s="5">
        <v>124</v>
      </c>
      <c r="D112" s="6">
        <f>ROUND(Fuentes!I112*0.45359237,0)</f>
        <v>75500</v>
      </c>
      <c r="E112" s="5">
        <v>33.840000000000003</v>
      </c>
      <c r="F112" s="5">
        <f>ROUND(Fuentes!J112*0.3048,2)</f>
        <v>33.83</v>
      </c>
      <c r="G112" s="7">
        <v>2</v>
      </c>
      <c r="H112" s="3"/>
      <c r="I112" s="3" t="s">
        <v>14</v>
      </c>
    </row>
    <row r="113" spans="1:9" ht="32.1" customHeight="1">
      <c r="A113" s="3" t="s">
        <v>223</v>
      </c>
      <c r="B113" s="4" t="s">
        <v>224</v>
      </c>
      <c r="C113" s="5"/>
      <c r="D113" s="6">
        <f>ROUND(Fuentes!I113*0.45359237,0)</f>
        <v>316000</v>
      </c>
      <c r="E113" s="5"/>
      <c r="F113" s="5">
        <f>ROUND(Fuentes!J113*0.3048,2)</f>
        <v>73.58</v>
      </c>
      <c r="G113" s="7">
        <v>2</v>
      </c>
      <c r="H113" s="3"/>
      <c r="I113" s="3" t="s">
        <v>14</v>
      </c>
    </row>
    <row r="114" spans="1:9" ht="32.1" customHeight="1">
      <c r="A114" s="3" t="s">
        <v>225</v>
      </c>
      <c r="B114" s="4" t="s">
        <v>226</v>
      </c>
      <c r="C114" s="5"/>
      <c r="D114" s="6">
        <f>ROUND(Fuentes!I114*0.45359237,0)</f>
        <v>7394</v>
      </c>
      <c r="E114" s="5"/>
      <c r="F114" s="5">
        <f>ROUND(Fuentes!J114*0.3048,2)</f>
        <v>14.9</v>
      </c>
      <c r="G114" s="7">
        <v>2</v>
      </c>
      <c r="H114" s="3"/>
      <c r="I114" s="3" t="s">
        <v>14</v>
      </c>
    </row>
    <row r="115" spans="1:9" ht="32.1" customHeight="1">
      <c r="A115" s="3" t="s">
        <v>227</v>
      </c>
      <c r="B115" s="4" t="s">
        <v>228</v>
      </c>
      <c r="C115" s="5">
        <v>28.8</v>
      </c>
      <c r="D115" s="6">
        <f>ROUND(Fuentes!I115*0.45359237,0)</f>
        <v>6804</v>
      </c>
      <c r="E115" s="5"/>
      <c r="F115" s="5">
        <f>ROUND(Fuentes!J115*0.3048,2)</f>
        <v>14.23</v>
      </c>
      <c r="G115" s="7">
        <v>2</v>
      </c>
      <c r="H115" s="3"/>
      <c r="I115" s="3" t="s">
        <v>14</v>
      </c>
    </row>
    <row r="116" spans="1:9" ht="32.1" customHeight="1">
      <c r="A116" s="3" t="s">
        <v>229</v>
      </c>
      <c r="B116" s="4" t="s">
        <v>230</v>
      </c>
      <c r="C116" s="5"/>
      <c r="D116" s="6">
        <f>ROUND(Fuentes!I116*0.45359237,0)</f>
        <v>36106</v>
      </c>
      <c r="E116" s="5"/>
      <c r="F116" s="5">
        <f>ROUND(Fuentes!J116*0.3048,2)</f>
        <v>27.79</v>
      </c>
      <c r="G116" s="7">
        <v>2</v>
      </c>
      <c r="H116" s="3"/>
      <c r="I116" s="3" t="s">
        <v>14</v>
      </c>
    </row>
    <row r="117" spans="1:9" ht="32.1" customHeight="1">
      <c r="A117" s="3" t="s">
        <v>231</v>
      </c>
      <c r="B117" s="4" t="s">
        <v>232</v>
      </c>
      <c r="C117" s="5">
        <v>51.2</v>
      </c>
      <c r="D117" s="6">
        <f>ROUND(Fuentes!I117*0.45359237,0)</f>
        <v>22000</v>
      </c>
      <c r="E117" s="5">
        <v>29.87</v>
      </c>
      <c r="F117" s="5">
        <f>ROUND(Fuentes!J117*0.3048,2)</f>
        <v>29.87</v>
      </c>
      <c r="G117" s="7">
        <v>2</v>
      </c>
      <c r="H117" s="3"/>
      <c r="I117" s="3" t="s">
        <v>14</v>
      </c>
    </row>
    <row r="118" spans="1:9" ht="32.1" customHeight="1">
      <c r="A118" s="3" t="s">
        <v>233</v>
      </c>
      <c r="B118" s="4" t="s">
        <v>234</v>
      </c>
      <c r="C118" s="5"/>
      <c r="D118" s="6">
        <f>ROUND(Fuentes!I118*0.45359237,0)</f>
        <v>17917</v>
      </c>
      <c r="E118" s="5"/>
      <c r="F118" s="5">
        <f>ROUND(Fuentes!J118*0.3048,2)</f>
        <v>21.09</v>
      </c>
      <c r="G118" s="7">
        <v>2</v>
      </c>
      <c r="H118" s="3"/>
      <c r="I118" s="3" t="s">
        <v>14</v>
      </c>
    </row>
    <row r="119" spans="1:9" ht="32.1" customHeight="1">
      <c r="A119" s="3" t="s">
        <v>235</v>
      </c>
      <c r="B119" s="4" t="s">
        <v>236</v>
      </c>
      <c r="C119" s="5"/>
      <c r="D119" s="6">
        <f>ROUND(Fuentes!I119*0.45359237,0)</f>
        <v>23000</v>
      </c>
      <c r="E119" s="5"/>
      <c r="F119" s="5">
        <f>ROUND(Fuentes!J119*0.3048,2)</f>
        <v>27.28</v>
      </c>
      <c r="G119" s="7">
        <v>1</v>
      </c>
      <c r="H119" s="3"/>
      <c r="I119" s="3" t="s">
        <v>14</v>
      </c>
    </row>
    <row r="120" spans="1:9" ht="32.1" customHeight="1">
      <c r="A120" s="3" t="s">
        <v>237</v>
      </c>
      <c r="B120" s="4" t="s">
        <v>238</v>
      </c>
      <c r="C120" s="5">
        <v>122.4</v>
      </c>
      <c r="D120" s="6">
        <f>ROUND(Fuentes!I120*0.45359237,0)</f>
        <v>68000</v>
      </c>
      <c r="E120" s="5">
        <v>31.44</v>
      </c>
      <c r="F120" s="5">
        <f>ROUND(Fuentes!J120*0.3048,2)</f>
        <v>31.46</v>
      </c>
      <c r="G120" s="7">
        <v>2</v>
      </c>
      <c r="H120" s="3"/>
      <c r="I120" s="3" t="s">
        <v>14</v>
      </c>
    </row>
    <row r="121" spans="1:9" ht="32.1" customHeight="1">
      <c r="A121" s="3" t="s">
        <v>239</v>
      </c>
      <c r="B121" s="4" t="s">
        <v>240</v>
      </c>
      <c r="C121" s="5"/>
      <c r="D121" s="6">
        <f>ROUND(Fuentes!I121*0.45359237,0)</f>
        <v>9752</v>
      </c>
      <c r="E121" s="5"/>
      <c r="F121" s="5">
        <f>ROUND(Fuentes!J121*0.3048,2)</f>
        <v>17.68</v>
      </c>
      <c r="G121" s="7">
        <v>2</v>
      </c>
      <c r="H121" s="3"/>
      <c r="I121" s="3" t="s">
        <v>14</v>
      </c>
    </row>
    <row r="122" spans="1:9" ht="32.1" customHeight="1">
      <c r="A122" s="3" t="s">
        <v>241</v>
      </c>
      <c r="B122" s="4"/>
      <c r="C122" s="5"/>
      <c r="D122" s="6"/>
      <c r="E122" s="5"/>
      <c r="F122" s="5"/>
      <c r="G122" s="7"/>
      <c r="H122" s="3"/>
      <c r="I122" s="3" t="s">
        <v>83</v>
      </c>
    </row>
    <row r="123" spans="1:9" ht="32.1" customHeight="1">
      <c r="A123" s="3" t="s">
        <v>242</v>
      </c>
      <c r="B123" s="4" t="s">
        <v>243</v>
      </c>
      <c r="C123" s="5"/>
      <c r="D123" s="6">
        <f>ROUND(Fuentes!I123*0.45359237,0)</f>
        <v>9525</v>
      </c>
      <c r="E123" s="5"/>
      <c r="F123" s="5">
        <f>ROUND(Fuentes!J123*0.3048,2)</f>
        <v>16.95</v>
      </c>
      <c r="G123" s="7">
        <v>2</v>
      </c>
      <c r="H123" s="3"/>
      <c r="I123" s="3" t="s">
        <v>14</v>
      </c>
    </row>
    <row r="124" spans="1:9" ht="32.1" customHeight="1">
      <c r="A124" s="3" t="s">
        <v>244</v>
      </c>
      <c r="B124" s="4" t="s">
        <v>245</v>
      </c>
      <c r="C124" s="5"/>
      <c r="D124" s="6">
        <v>43390</v>
      </c>
      <c r="E124" s="5"/>
      <c r="F124" s="5">
        <v>35.5</v>
      </c>
      <c r="G124" s="7">
        <v>2</v>
      </c>
      <c r="H124" s="3"/>
      <c r="I124" s="3" t="s">
        <v>14</v>
      </c>
    </row>
    <row r="125" spans="1:9" ht="32.1" customHeight="1">
      <c r="A125" s="3" t="s">
        <v>246</v>
      </c>
      <c r="B125" s="4" t="s">
        <v>247</v>
      </c>
      <c r="C125" s="5"/>
      <c r="D125" s="6">
        <f>ROUND(Fuentes!I125*0.45359237,0)</f>
        <v>2722</v>
      </c>
      <c r="E125" s="5"/>
      <c r="F125" s="5">
        <f>ROUND(Fuentes!J125*0.3048,2)</f>
        <v>9.36</v>
      </c>
      <c r="G125" s="7">
        <v>1</v>
      </c>
      <c r="H125" s="3"/>
      <c r="I125" s="3" t="s">
        <v>14</v>
      </c>
    </row>
    <row r="126" spans="1:9" ht="32.1" customHeight="1">
      <c r="A126" s="3" t="s">
        <v>248</v>
      </c>
      <c r="B126" s="4" t="s">
        <v>249</v>
      </c>
      <c r="C126" s="5"/>
      <c r="D126" s="6">
        <f>ROUND(Fuentes!I126*0.45359237,0)</f>
        <v>2717</v>
      </c>
      <c r="E126" s="5"/>
      <c r="F126" s="5">
        <f>ROUND(Fuentes!J126*0.3048,2)</f>
        <v>13.2</v>
      </c>
      <c r="G126" s="7">
        <v>2</v>
      </c>
      <c r="H126" s="3"/>
      <c r="I126" s="3" t="s">
        <v>14</v>
      </c>
    </row>
    <row r="127" spans="1:9" ht="32.1" customHeight="1">
      <c r="A127" s="3" t="s">
        <v>250</v>
      </c>
      <c r="B127" s="4" t="s">
        <v>251</v>
      </c>
      <c r="C127" s="5"/>
      <c r="D127" s="6">
        <f>ROUND(Fuentes!I127*0.45359237,0)</f>
        <v>18600</v>
      </c>
      <c r="E127" s="5"/>
      <c r="F127" s="5">
        <f>ROUND(Fuentes!J127*0.3048,2)</f>
        <v>22.68</v>
      </c>
      <c r="G127" s="7">
        <v>2</v>
      </c>
      <c r="H127" s="3"/>
      <c r="I127" s="3" t="s">
        <v>14</v>
      </c>
    </row>
    <row r="128" spans="1:9" ht="32.1" customHeight="1">
      <c r="A128" s="3" t="s">
        <v>252</v>
      </c>
      <c r="B128" s="4"/>
      <c r="C128" s="5"/>
      <c r="D128" s="6"/>
      <c r="E128" s="5"/>
      <c r="F128" s="5"/>
      <c r="G128" s="7"/>
      <c r="H128" s="3"/>
      <c r="I128" s="3" t="s">
        <v>83</v>
      </c>
    </row>
    <row r="129" spans="1:9" ht="32.1" customHeight="1">
      <c r="A129" s="3" t="s">
        <v>253</v>
      </c>
      <c r="B129" s="4" t="s">
        <v>254</v>
      </c>
      <c r="C129" s="5"/>
      <c r="D129" s="6">
        <f>ROUND(Fuentes!I129*0.45359237,0)</f>
        <v>4800</v>
      </c>
      <c r="E129" s="5"/>
      <c r="F129" s="5">
        <f>ROUND(Fuentes!J129*0.3048,2)</f>
        <v>12.83</v>
      </c>
      <c r="G129" s="7">
        <v>2</v>
      </c>
      <c r="H129" s="3"/>
      <c r="I129" s="3" t="s">
        <v>14</v>
      </c>
    </row>
    <row r="130" spans="1:9" ht="32.1" customHeight="1">
      <c r="A130" s="3" t="s">
        <v>255</v>
      </c>
      <c r="B130" s="4" t="s">
        <v>256</v>
      </c>
      <c r="C130" s="5"/>
      <c r="D130" s="6">
        <f>ROUND(Fuentes!I130*0.45359237,0)</f>
        <v>1785</v>
      </c>
      <c r="E130" s="5"/>
      <c r="F130" s="5">
        <f>ROUND(Fuentes!J130*0.3048,2)</f>
        <v>8.56</v>
      </c>
      <c r="G130" s="7">
        <v>2</v>
      </c>
      <c r="H130" s="3"/>
      <c r="I130" s="3" t="s">
        <v>14</v>
      </c>
    </row>
    <row r="131" spans="1:9" ht="32.1" customHeight="1">
      <c r="A131" s="3" t="s">
        <v>257</v>
      </c>
      <c r="B131" s="4" t="s">
        <v>258</v>
      </c>
      <c r="C131" s="5"/>
      <c r="D131" s="6">
        <f>ROUND(Fuentes!I131*0.45359237,0)</f>
        <v>7257</v>
      </c>
      <c r="E131" s="5"/>
      <c r="F131" s="5">
        <f>ROUND(Fuentes!J131*0.3048,2)</f>
        <v>18.11</v>
      </c>
      <c r="G131" s="7">
        <v>2</v>
      </c>
      <c r="H131" s="3"/>
      <c r="I131" s="3" t="s">
        <v>14</v>
      </c>
    </row>
    <row r="132" spans="1:9" ht="32.1" customHeight="1">
      <c r="A132" s="3" t="s">
        <v>259</v>
      </c>
      <c r="B132" s="4" t="s">
        <v>260</v>
      </c>
      <c r="C132" s="5"/>
      <c r="D132" s="6">
        <f>ROUND(Fuentes!I132*0.45359237,0)</f>
        <v>265352</v>
      </c>
      <c r="E132" s="5"/>
      <c r="F132" s="5">
        <f>ROUND(Fuentes!J132*0.3048,2)</f>
        <v>53.04</v>
      </c>
      <c r="G132" s="7">
        <v>4</v>
      </c>
      <c r="H132" s="3"/>
      <c r="I132" s="3" t="s">
        <v>14</v>
      </c>
    </row>
    <row r="133" spans="1:9" ht="32.1" customHeight="1">
      <c r="A133" s="3" t="s">
        <v>261</v>
      </c>
      <c r="B133" s="4" t="s">
        <v>262</v>
      </c>
      <c r="C133" s="5"/>
      <c r="D133" s="6">
        <f>ROUND(Fuentes!I133*0.45359237,0)</f>
        <v>10659</v>
      </c>
      <c r="E133" s="5"/>
      <c r="F133" s="5">
        <f>ROUND(Fuentes!J133*0.3048,2)</f>
        <v>16.95</v>
      </c>
      <c r="G133" s="7">
        <v>2</v>
      </c>
      <c r="H133" s="3"/>
      <c r="I133" s="3" t="s">
        <v>14</v>
      </c>
    </row>
    <row r="134" spans="1:9" ht="32.1" customHeight="1">
      <c r="A134" s="3" t="s">
        <v>263</v>
      </c>
      <c r="B134" s="4" t="s">
        <v>264</v>
      </c>
      <c r="C134" s="5">
        <v>31.83</v>
      </c>
      <c r="D134" s="6">
        <f>ROUND(Fuentes!I134*0.45359237,0)</f>
        <v>6849</v>
      </c>
      <c r="E134" s="5">
        <v>14.39</v>
      </c>
      <c r="F134" s="5">
        <f>ROUND(Fuentes!J134*0.3048,2)</f>
        <v>14.42</v>
      </c>
      <c r="G134" s="7">
        <v>2</v>
      </c>
      <c r="H134" s="3"/>
      <c r="I134" s="3" t="s">
        <v>14</v>
      </c>
    </row>
    <row r="135" spans="1:9" ht="32.1" customHeight="1">
      <c r="A135" s="3" t="s">
        <v>265</v>
      </c>
      <c r="B135" s="4" t="s">
        <v>266</v>
      </c>
      <c r="C135" s="5"/>
      <c r="D135" s="6">
        <v>48807</v>
      </c>
      <c r="E135" s="5"/>
      <c r="F135" s="5">
        <v>33.479999999999997</v>
      </c>
      <c r="G135" s="7">
        <v>2</v>
      </c>
      <c r="H135" s="3"/>
      <c r="I135" s="3" t="s">
        <v>14</v>
      </c>
    </row>
    <row r="136" spans="1:9" ht="32.1" customHeight="1">
      <c r="A136" s="3" t="s">
        <v>267</v>
      </c>
      <c r="B136" s="4" t="s">
        <v>268</v>
      </c>
      <c r="C136" s="5"/>
      <c r="D136" s="6">
        <f>ROUND(Fuentes!I136*0.45359237,0)</f>
        <v>4756</v>
      </c>
      <c r="E136" s="5"/>
      <c r="F136" s="5">
        <f>ROUND(Fuentes!J136*0.3048,2)</f>
        <v>10.82</v>
      </c>
      <c r="G136" s="7">
        <v>2</v>
      </c>
      <c r="H136" s="3"/>
      <c r="I136" s="3" t="s">
        <v>14</v>
      </c>
    </row>
    <row r="137" spans="1:9" ht="32.1" customHeight="1">
      <c r="A137" s="3" t="s">
        <v>269</v>
      </c>
      <c r="B137" s="4" t="s">
        <v>270</v>
      </c>
      <c r="C137" s="5"/>
      <c r="D137" s="6">
        <f>ROUND(Fuentes!I137*0.45359237,0)</f>
        <v>964</v>
      </c>
      <c r="E137" s="5"/>
      <c r="F137" s="5">
        <f>ROUND(Fuentes!J137*0.3048,2)</f>
        <v>7.92</v>
      </c>
      <c r="G137" s="7">
        <v>1</v>
      </c>
      <c r="H137" s="3"/>
      <c r="I137" s="3" t="s">
        <v>14</v>
      </c>
    </row>
    <row r="138" spans="1:9" ht="32.1" customHeight="1">
      <c r="A138" s="3" t="s">
        <v>271</v>
      </c>
      <c r="B138" s="4" t="s">
        <v>272</v>
      </c>
      <c r="C138" s="5"/>
      <c r="D138" s="6">
        <v>7000</v>
      </c>
      <c r="E138" s="5"/>
      <c r="F138" s="5">
        <v>16.66</v>
      </c>
      <c r="G138" s="7">
        <v>2</v>
      </c>
      <c r="H138" s="3"/>
      <c r="I138" s="3" t="s">
        <v>14</v>
      </c>
    </row>
    <row r="139" spans="1:9" ht="32.1" customHeight="1">
      <c r="A139" s="3" t="s">
        <v>273</v>
      </c>
      <c r="B139" s="4" t="s">
        <v>274</v>
      </c>
      <c r="C139" s="5"/>
      <c r="D139" s="6">
        <f>ROUND(Fuentes!I139*0.45359237,0)</f>
        <v>63276</v>
      </c>
      <c r="E139" s="5"/>
      <c r="F139" s="5">
        <f>ROUND(Fuentes!J139*0.3048,2)</f>
        <v>33.409999999999997</v>
      </c>
      <c r="G139" s="7">
        <v>2</v>
      </c>
      <c r="H139" s="3"/>
      <c r="I139" s="3" t="s">
        <v>14</v>
      </c>
    </row>
    <row r="140" spans="1:9" ht="32.1" customHeight="1">
      <c r="A140" s="3" t="s">
        <v>275</v>
      </c>
      <c r="B140" s="4" t="s">
        <v>276</v>
      </c>
      <c r="C140" s="5"/>
      <c r="D140" s="6">
        <f>ROUND(Fuentes!I140*0.45359237,0)</f>
        <v>1633</v>
      </c>
      <c r="E140" s="5"/>
      <c r="F140" s="5">
        <f>ROUND(Fuentes!J140*0.3048,2)</f>
        <v>7.92</v>
      </c>
      <c r="G140" s="7">
        <v>1</v>
      </c>
      <c r="H140" s="3"/>
      <c r="I140" s="3" t="s">
        <v>14</v>
      </c>
    </row>
    <row r="141" spans="1:9" ht="32.1" customHeight="1">
      <c r="A141" s="3" t="s">
        <v>277</v>
      </c>
      <c r="B141" s="4" t="s">
        <v>278</v>
      </c>
      <c r="C141" s="5"/>
      <c r="D141" s="6">
        <f>ROUND(Fuentes!I141*0.45359237,0)</f>
        <v>4100</v>
      </c>
      <c r="E141" s="5"/>
      <c r="F141" s="5">
        <f>ROUND(Fuentes!J141*0.3048,2)</f>
        <v>12.53</v>
      </c>
      <c r="G141" s="7">
        <v>2</v>
      </c>
      <c r="H141" s="3"/>
      <c r="I141" s="3" t="s">
        <v>14</v>
      </c>
    </row>
    <row r="142" spans="1:9" ht="32.1" customHeight="1">
      <c r="A142" s="3" t="s">
        <v>279</v>
      </c>
      <c r="B142" s="4" t="s">
        <v>280</v>
      </c>
      <c r="C142" s="5">
        <v>54.35</v>
      </c>
      <c r="D142" s="6">
        <f>ROUND(Fuentes!I142*0.45359237,0)</f>
        <v>15649</v>
      </c>
      <c r="E142" s="5"/>
      <c r="F142" s="5">
        <f>ROUND(Fuentes!J142*0.3048,2)</f>
        <v>22.25</v>
      </c>
      <c r="G142" s="7">
        <v>2</v>
      </c>
      <c r="H142" s="3"/>
      <c r="I142" s="3" t="s">
        <v>14</v>
      </c>
    </row>
    <row r="143" spans="1:9" ht="32.1" customHeight="1">
      <c r="A143" s="3" t="s">
        <v>281</v>
      </c>
      <c r="B143" s="4" t="s">
        <v>282</v>
      </c>
      <c r="C143" s="5"/>
      <c r="D143" s="6">
        <f>ROUND(Fuentes!I143*0.45359237,0)</f>
        <v>16704</v>
      </c>
      <c r="E143" s="5"/>
      <c r="F143" s="5">
        <f>ROUND(Fuentes!J143*0.3048,2)</f>
        <v>22.68</v>
      </c>
      <c r="G143" s="7">
        <v>2</v>
      </c>
      <c r="H143" s="3"/>
      <c r="I143" s="3" t="s">
        <v>14</v>
      </c>
    </row>
    <row r="144" spans="1:9" ht="32.1" customHeight="1">
      <c r="A144" s="3" t="s">
        <v>283</v>
      </c>
      <c r="B144" s="4" t="s">
        <v>284</v>
      </c>
      <c r="C144" s="5"/>
      <c r="D144" s="6">
        <f>ROUND(Fuentes!I144*0.45359237,0)</f>
        <v>247000</v>
      </c>
      <c r="E144" s="5"/>
      <c r="F144" s="5">
        <f>ROUND(Fuentes!J144*0.3048,2)</f>
        <v>58.83</v>
      </c>
      <c r="G144" s="7">
        <v>2</v>
      </c>
      <c r="H144" s="3"/>
      <c r="I144" s="3" t="s">
        <v>14</v>
      </c>
    </row>
    <row r="145" spans="1:9" ht="32.1" customHeight="1">
      <c r="A145" s="3" t="s">
        <v>285</v>
      </c>
      <c r="B145" s="4" t="s">
        <v>286</v>
      </c>
      <c r="C145" s="5">
        <v>61</v>
      </c>
      <c r="D145" s="6">
        <v>22800</v>
      </c>
      <c r="E145" s="5"/>
      <c r="F145" s="5">
        <v>27.166</v>
      </c>
      <c r="G145" s="7">
        <v>2</v>
      </c>
      <c r="H145" s="3"/>
      <c r="I145" s="3" t="s">
        <v>14</v>
      </c>
    </row>
    <row r="146" spans="1:9" ht="32.1" customHeight="1">
      <c r="A146" s="3" t="s">
        <v>287</v>
      </c>
      <c r="B146" s="4" t="s">
        <v>288</v>
      </c>
      <c r="C146" s="5"/>
      <c r="D146" s="6">
        <v>5670</v>
      </c>
      <c r="E146" s="5"/>
      <c r="F146" s="5">
        <v>12.3</v>
      </c>
      <c r="G146" s="7">
        <v>2</v>
      </c>
      <c r="H146" s="3"/>
      <c r="I146" s="3" t="s">
        <v>14</v>
      </c>
    </row>
    <row r="147" spans="1:9" ht="32.1" customHeight="1">
      <c r="A147" s="3" t="s">
        <v>289</v>
      </c>
      <c r="B147" s="4" t="s">
        <v>290</v>
      </c>
      <c r="C147" s="5"/>
      <c r="D147" s="6">
        <f>ROUND(Fuentes!I147*0.45359237,0)</f>
        <v>18008</v>
      </c>
      <c r="E147" s="5"/>
      <c r="F147" s="5">
        <f>ROUND(Fuentes!J147*0.3048,2)</f>
        <v>18.53</v>
      </c>
      <c r="G147" s="7">
        <v>3</v>
      </c>
      <c r="H147" s="3"/>
      <c r="I147" s="3" t="s">
        <v>14</v>
      </c>
    </row>
    <row r="148" spans="1:9" ht="32.1" customHeight="1">
      <c r="A148" s="3" t="s">
        <v>291</v>
      </c>
      <c r="B148" s="4" t="s">
        <v>292</v>
      </c>
      <c r="C148" s="5"/>
      <c r="D148" s="6">
        <f>ROUND(Fuentes!I148*0.45359237,0)</f>
        <v>3354</v>
      </c>
      <c r="E148" s="5"/>
      <c r="F148" s="5">
        <f>ROUND(Fuentes!J148*0.3048,2)</f>
        <v>10.73</v>
      </c>
      <c r="G148" s="7">
        <v>1</v>
      </c>
      <c r="H148" s="3"/>
      <c r="I148" s="3" t="s">
        <v>14</v>
      </c>
    </row>
    <row r="149" spans="1:9" ht="32.1" customHeight="1">
      <c r="A149" s="3" t="s">
        <v>293</v>
      </c>
      <c r="B149" s="4" t="s">
        <v>294</v>
      </c>
      <c r="C149" s="5"/>
      <c r="D149" s="6">
        <f>ROUND(Fuentes!I149*0.45359237,0)</f>
        <v>169998</v>
      </c>
      <c r="E149" s="5"/>
      <c r="F149" s="5">
        <f>ROUND(Fuentes!J149*0.3048,2)</f>
        <v>46.6</v>
      </c>
      <c r="G149" s="7">
        <v>4</v>
      </c>
      <c r="H149" s="3"/>
      <c r="I149" s="3" t="s">
        <v>14</v>
      </c>
    </row>
    <row r="150" spans="1:9" ht="32.1" customHeight="1">
      <c r="A150" s="3" t="s">
        <v>295</v>
      </c>
      <c r="B150" s="4" t="s">
        <v>296</v>
      </c>
      <c r="C150" s="5"/>
      <c r="D150" s="6">
        <f>ROUND(Fuentes!I150*0.45359237,0)</f>
        <v>377842</v>
      </c>
      <c r="E150" s="5"/>
      <c r="F150" s="5">
        <f>ROUND(Fuentes!J150*0.3048,2)</f>
        <v>70.650000000000006</v>
      </c>
      <c r="G150" s="7">
        <v>4</v>
      </c>
      <c r="H150" s="3"/>
      <c r="I150" s="3" t="s">
        <v>14</v>
      </c>
    </row>
    <row r="151" spans="1:9" ht="32.1" customHeight="1">
      <c r="A151" s="3" t="s">
        <v>297</v>
      </c>
      <c r="B151" s="4" t="s">
        <v>298</v>
      </c>
      <c r="C151" s="5"/>
      <c r="D151" s="6">
        <f>ROUND(Fuentes!I151*0.45359237,0)</f>
        <v>141000</v>
      </c>
      <c r="E151" s="5"/>
      <c r="F151" s="5">
        <f>ROUND(Fuentes!J151*0.3048,2)</f>
        <v>45.11</v>
      </c>
      <c r="G151" s="7">
        <v>4</v>
      </c>
      <c r="H151" s="3"/>
      <c r="I151" s="3" t="s">
        <v>14</v>
      </c>
    </row>
    <row r="152" spans="1:9" ht="32.1" customHeight="1">
      <c r="A152" s="3" t="s">
        <v>299</v>
      </c>
      <c r="B152" s="4" t="s">
        <v>300</v>
      </c>
      <c r="C152" s="5"/>
      <c r="D152" s="6">
        <v>2722</v>
      </c>
      <c r="E152" s="5"/>
      <c r="F152" s="5">
        <v>9</v>
      </c>
      <c r="G152" s="7">
        <v>1</v>
      </c>
      <c r="H152" s="3"/>
      <c r="I152" s="3" t="s">
        <v>14</v>
      </c>
    </row>
    <row r="153" spans="1:9" ht="32.1" customHeight="1">
      <c r="A153" s="3" t="s">
        <v>301</v>
      </c>
      <c r="B153" s="4" t="s">
        <v>302</v>
      </c>
      <c r="C153" s="5"/>
      <c r="D153" s="6">
        <f>ROUND(Fuentes!I153*0.45359237,0)</f>
        <v>8500</v>
      </c>
      <c r="E153" s="5"/>
      <c r="F153" s="5">
        <f>ROUND(Fuentes!J153*0.3048,2)</f>
        <v>13.87</v>
      </c>
      <c r="G153" s="7">
        <v>2</v>
      </c>
      <c r="H153" s="3"/>
      <c r="I153" s="3" t="s">
        <v>14</v>
      </c>
    </row>
    <row r="154" spans="1:9" ht="32.1" customHeight="1">
      <c r="A154" s="3" t="s">
        <v>303</v>
      </c>
      <c r="B154" s="4" t="s">
        <v>304</v>
      </c>
      <c r="C154" s="5"/>
      <c r="D154" s="6">
        <v>2300</v>
      </c>
      <c r="E154" s="5"/>
      <c r="F154" s="5">
        <v>9.19</v>
      </c>
      <c r="G154" s="7">
        <v>2</v>
      </c>
      <c r="H154" s="3"/>
      <c r="I154" s="3" t="s">
        <v>14</v>
      </c>
    </row>
    <row r="155" spans="1:9" ht="32.1" customHeight="1">
      <c r="A155" s="3" t="s">
        <v>305</v>
      </c>
      <c r="B155" s="4" t="s">
        <v>306</v>
      </c>
      <c r="C155" s="5"/>
      <c r="D155" s="6">
        <f>ROUND(Fuentes!I155*0.45359237,0)</f>
        <v>3379</v>
      </c>
      <c r="E155" s="5"/>
      <c r="F155" s="5">
        <f>ROUND(Fuentes!J155*0.3048,2)</f>
        <v>11.09</v>
      </c>
      <c r="G155" s="7">
        <v>2</v>
      </c>
      <c r="H155" s="3"/>
      <c r="I155" s="3" t="s">
        <v>14</v>
      </c>
    </row>
    <row r="156" spans="1:9" ht="32.1" customHeight="1">
      <c r="A156" s="3" t="s">
        <v>307</v>
      </c>
      <c r="B156" s="4" t="s">
        <v>308</v>
      </c>
      <c r="C156" s="5"/>
      <c r="D156" s="6">
        <v>35153</v>
      </c>
      <c r="E156" s="5"/>
      <c r="F156" s="5">
        <v>25.68</v>
      </c>
      <c r="G156" s="7">
        <v>2</v>
      </c>
      <c r="H156" s="3"/>
      <c r="I156" s="3" t="s">
        <v>14</v>
      </c>
    </row>
    <row r="157" spans="1:9" ht="32.1" customHeight="1">
      <c r="A157" s="3" t="s">
        <v>309</v>
      </c>
      <c r="B157" s="4" t="s">
        <v>310</v>
      </c>
      <c r="C157" s="5"/>
      <c r="D157" s="6">
        <f>ROUND(Fuentes!I157*0.45359237,0)</f>
        <v>3073</v>
      </c>
      <c r="E157" s="5"/>
      <c r="F157" s="5">
        <f>ROUND(Fuentes!J157*0.3048,2)</f>
        <v>10.3</v>
      </c>
      <c r="G157" s="7">
        <v>2</v>
      </c>
      <c r="H157" s="3"/>
      <c r="I157" s="3" t="s">
        <v>14</v>
      </c>
    </row>
    <row r="158" spans="1:9" ht="32.1" customHeight="1">
      <c r="A158" s="3" t="s">
        <v>311</v>
      </c>
      <c r="B158" s="4" t="s">
        <v>312</v>
      </c>
      <c r="C158" s="5"/>
      <c r="D158" s="6">
        <f>ROUND(Fuentes!I158*0.45359237,0)</f>
        <v>1310</v>
      </c>
      <c r="E158" s="5"/>
      <c r="F158" s="5">
        <f>ROUND(Fuentes!J158*0.3048,2)</f>
        <v>8.02</v>
      </c>
      <c r="G158" s="7">
        <v>1</v>
      </c>
      <c r="H158" s="3"/>
      <c r="I158" s="3" t="s">
        <v>14</v>
      </c>
    </row>
    <row r="159" spans="1:9" ht="32.1" customHeight="1">
      <c r="A159" s="3" t="s">
        <v>313</v>
      </c>
      <c r="B159" s="4" t="s">
        <v>314</v>
      </c>
      <c r="C159" s="5"/>
      <c r="D159" s="6">
        <f>ROUND(Fuentes!I159*0.45359237,0)</f>
        <v>1070</v>
      </c>
      <c r="E159" s="5"/>
      <c r="F159" s="5">
        <f>ROUND(Fuentes!J159*0.3048,2)</f>
        <v>7.92</v>
      </c>
      <c r="G159" s="7">
        <v>1</v>
      </c>
      <c r="H159" s="3"/>
      <c r="I159" s="3" t="s">
        <v>14</v>
      </c>
    </row>
    <row r="160" spans="1:9" ht="32.1" customHeight="1">
      <c r="A160" s="3" t="s">
        <v>315</v>
      </c>
      <c r="B160" s="4" t="s">
        <v>316</v>
      </c>
      <c r="C160" s="5"/>
      <c r="D160" s="6">
        <f>ROUND(Fuentes!I160*0.45359237,0)</f>
        <v>4297</v>
      </c>
      <c r="E160" s="5"/>
      <c r="F160" s="5">
        <f>ROUND(Fuentes!J160*0.3048,2)</f>
        <v>10.58</v>
      </c>
      <c r="G160" s="7">
        <v>2</v>
      </c>
      <c r="H160" s="3"/>
      <c r="I160" s="3" t="s">
        <v>14</v>
      </c>
    </row>
    <row r="161" spans="1:9" ht="32.1" customHeight="1">
      <c r="A161" s="3" t="s">
        <v>317</v>
      </c>
      <c r="B161" s="4" t="s">
        <v>318</v>
      </c>
      <c r="C161" s="5"/>
      <c r="D161" s="6">
        <v>9350</v>
      </c>
      <c r="E161" s="5"/>
      <c r="F161" s="5">
        <v>16.79</v>
      </c>
      <c r="G161" s="7">
        <v>2</v>
      </c>
      <c r="H161" s="3"/>
      <c r="I161" s="3" t="s">
        <v>14</v>
      </c>
    </row>
    <row r="162" spans="1:9" ht="32.1" customHeight="1">
      <c r="A162" s="3" t="s">
        <v>319</v>
      </c>
      <c r="B162" s="4" t="s">
        <v>320</v>
      </c>
      <c r="C162" s="5"/>
      <c r="D162" s="6">
        <f>ROUND(Fuentes!I162*0.45359237,0)</f>
        <v>1542</v>
      </c>
      <c r="E162" s="5"/>
      <c r="F162" s="5">
        <f>ROUND(Fuentes!J162*0.3048,2)</f>
        <v>7.68</v>
      </c>
      <c r="G162" s="7">
        <v>1</v>
      </c>
      <c r="H162" s="3"/>
      <c r="I162" s="3" t="s">
        <v>14</v>
      </c>
    </row>
    <row r="163" spans="1:9" ht="32.1" customHeight="1">
      <c r="A163" s="3" t="s">
        <v>321</v>
      </c>
      <c r="B163" s="4" t="s">
        <v>322</v>
      </c>
      <c r="C163" s="5">
        <v>361.6</v>
      </c>
      <c r="D163" s="6">
        <f>ROUND(Fuentes!I163*0.45359237,0)</f>
        <v>275000</v>
      </c>
      <c r="E163" s="5"/>
      <c r="F163" s="5">
        <f>ROUND(Fuentes!J163*0.3048,2)</f>
        <v>59.44</v>
      </c>
      <c r="G163" s="7">
        <v>4</v>
      </c>
      <c r="H163" s="3"/>
      <c r="I163" s="3" t="s">
        <v>14</v>
      </c>
    </row>
    <row r="164" spans="1:9" ht="32.1" customHeight="1">
      <c r="A164" s="3" t="s">
        <v>323</v>
      </c>
      <c r="B164" s="4"/>
      <c r="C164" s="5"/>
      <c r="D164" s="6"/>
      <c r="E164" s="5"/>
      <c r="F164" s="5"/>
      <c r="G164" s="7"/>
      <c r="H164" s="3"/>
      <c r="I164" s="3" t="s">
        <v>83</v>
      </c>
    </row>
    <row r="165" spans="1:9" ht="32.1" customHeight="1">
      <c r="A165" s="3" t="s">
        <v>324</v>
      </c>
      <c r="B165" s="4" t="s">
        <v>325</v>
      </c>
      <c r="C165" s="5"/>
      <c r="D165" s="6">
        <f>ROUND(Fuentes!I165*0.45359237,0)</f>
        <v>2155</v>
      </c>
      <c r="E165" s="5"/>
      <c r="F165" s="5">
        <f>ROUND(Fuentes!J165*0.3048,2)</f>
        <v>8.7200000000000006</v>
      </c>
      <c r="G165" s="7">
        <v>2</v>
      </c>
      <c r="H165" s="3"/>
      <c r="I165" s="3" t="s">
        <v>14</v>
      </c>
    </row>
    <row r="166" spans="1:9" ht="32.1" customHeight="1">
      <c r="A166" s="3" t="s">
        <v>326</v>
      </c>
      <c r="B166" s="4" t="s">
        <v>327</v>
      </c>
      <c r="C166" s="5"/>
      <c r="D166" s="6">
        <f>ROUND(Fuentes!I166*0.45359237,0)</f>
        <v>72575</v>
      </c>
      <c r="E166" s="5"/>
      <c r="F166" s="5">
        <f>ROUND(Fuentes!J166*0.3048,2)</f>
        <v>45.05</v>
      </c>
      <c r="G166" s="7">
        <v>2</v>
      </c>
      <c r="H166" s="3"/>
      <c r="I166" s="3" t="s">
        <v>14</v>
      </c>
    </row>
    <row r="167" spans="1:9" ht="32.1" customHeight="1">
      <c r="A167" s="3" t="s">
        <v>328</v>
      </c>
      <c r="B167" s="4" t="s">
        <v>329</v>
      </c>
      <c r="C167" s="5"/>
      <c r="D167" s="6">
        <f>ROUND(Fuentes!I167*0.45359237,0)</f>
        <v>45880</v>
      </c>
      <c r="E167" s="5"/>
      <c r="F167" s="5">
        <f>ROUND(Fuentes!J167*0.3048,2)</f>
        <v>29.93</v>
      </c>
      <c r="G167" s="7">
        <v>2</v>
      </c>
      <c r="H167" s="3"/>
      <c r="I167" s="3" t="s">
        <v>14</v>
      </c>
    </row>
    <row r="168" spans="1:9" ht="32.1" customHeight="1">
      <c r="A168" s="3" t="s">
        <v>330</v>
      </c>
      <c r="B168" s="4"/>
      <c r="C168" s="5"/>
      <c r="D168" s="6"/>
      <c r="E168" s="5"/>
      <c r="F168" s="5"/>
      <c r="G168" s="7"/>
      <c r="H168" s="3"/>
      <c r="I168" s="3" t="s">
        <v>83</v>
      </c>
    </row>
    <row r="169" spans="1:9" ht="32.1" customHeight="1">
      <c r="A169" s="3" t="s">
        <v>331</v>
      </c>
      <c r="B169" s="4" t="s">
        <v>332</v>
      </c>
      <c r="C169" s="5"/>
      <c r="D169" s="6">
        <f>ROUND(Fuentes!I169*0.45359237,0)</f>
        <v>61000</v>
      </c>
      <c r="E169" s="5"/>
      <c r="F169" s="5">
        <f>ROUND(Fuentes!J169*0.3048,2)</f>
        <v>34.020000000000003</v>
      </c>
      <c r="G169" s="7">
        <v>4</v>
      </c>
      <c r="H169" s="3"/>
      <c r="I169" s="3" t="s">
        <v>14</v>
      </c>
    </row>
    <row r="170" spans="1:9" ht="32.1" customHeight="1">
      <c r="A170" s="3" t="s">
        <v>333</v>
      </c>
      <c r="B170" s="4" t="s">
        <v>334</v>
      </c>
      <c r="C170" s="5"/>
      <c r="D170" s="6">
        <f>ROUND(Fuentes!I170*0.45359237,0)</f>
        <v>4110</v>
      </c>
      <c r="E170" s="5"/>
      <c r="F170" s="5">
        <f>ROUND(Fuentes!J170*0.3048,2)</f>
        <v>11.46</v>
      </c>
      <c r="G170" s="7">
        <v>1</v>
      </c>
      <c r="H170" s="3"/>
      <c r="I170" s="3" t="s">
        <v>14</v>
      </c>
    </row>
    <row r="171" spans="1:9" ht="32.1" customHeight="1">
      <c r="A171" s="3" t="s">
        <v>335</v>
      </c>
      <c r="B171" s="4"/>
      <c r="C171" s="5"/>
      <c r="D171" s="6"/>
      <c r="E171" s="5"/>
      <c r="F171" s="5"/>
      <c r="G171" s="7"/>
      <c r="H171" s="3"/>
      <c r="I171" s="3" t="s">
        <v>83</v>
      </c>
    </row>
    <row r="172" spans="1:9" ht="32.1" customHeight="1">
      <c r="A172" s="3" t="s">
        <v>336</v>
      </c>
      <c r="B172" s="4" t="s">
        <v>337</v>
      </c>
      <c r="C172" s="5"/>
      <c r="D172" s="6">
        <f>ROUND(Fuentes!I172*0.45359237,0)</f>
        <v>164999</v>
      </c>
      <c r="E172" s="5"/>
      <c r="F172" s="5">
        <f>ROUND(Fuentes!J172*0.3048,2)</f>
        <v>53.49</v>
      </c>
      <c r="G172" s="7">
        <v>2</v>
      </c>
      <c r="H172" s="3"/>
      <c r="I172" s="3" t="s">
        <v>14</v>
      </c>
    </row>
    <row r="173" spans="1:9" ht="32.1" customHeight="1">
      <c r="A173" s="3" t="s">
        <v>338</v>
      </c>
      <c r="B173" s="4" t="s">
        <v>339</v>
      </c>
      <c r="C173" s="5"/>
      <c r="D173" s="6">
        <f>ROUND(Fuentes!I173*0.45359237,0)</f>
        <v>16204</v>
      </c>
      <c r="E173" s="5"/>
      <c r="F173" s="5">
        <f>ROUND(Fuentes!J173*0.3048,2)</f>
        <v>19.690000000000001</v>
      </c>
      <c r="G173" s="7">
        <v>2</v>
      </c>
      <c r="H173" s="3"/>
      <c r="I173" s="3" t="s">
        <v>14</v>
      </c>
    </row>
    <row r="174" spans="1:9" ht="32.1" customHeight="1">
      <c r="A174" s="3" t="s">
        <v>340</v>
      </c>
      <c r="B174" s="4" t="s">
        <v>341</v>
      </c>
      <c r="C174" s="5"/>
      <c r="D174" s="6">
        <f>ROUND(Fuentes!I174*0.45359237,0)</f>
        <v>61689</v>
      </c>
      <c r="E174" s="5"/>
      <c r="F174" s="5">
        <f>ROUND(Fuentes!J174*0.3048,2)</f>
        <v>31.03</v>
      </c>
      <c r="G174" s="7">
        <v>2</v>
      </c>
      <c r="H174" s="3"/>
      <c r="I174" s="3" t="s">
        <v>14</v>
      </c>
    </row>
    <row r="175" spans="1:9" ht="32.1" customHeight="1">
      <c r="A175" s="3" t="s">
        <v>342</v>
      </c>
      <c r="B175" s="4" t="s">
        <v>343</v>
      </c>
      <c r="C175" s="5"/>
      <c r="D175" s="6">
        <v>103000</v>
      </c>
      <c r="E175" s="5"/>
      <c r="F175" s="5"/>
      <c r="G175" s="7">
        <v>2</v>
      </c>
      <c r="H175" s="3"/>
      <c r="I175" s="3" t="s">
        <v>14</v>
      </c>
    </row>
    <row r="176" spans="1:9" ht="32.1" customHeight="1">
      <c r="A176" s="3" t="s">
        <v>344</v>
      </c>
      <c r="B176" s="4" t="s">
        <v>345</v>
      </c>
      <c r="C176" s="5"/>
      <c r="D176" s="6">
        <f>ROUND(Fuentes!I176*0.45359237,0)</f>
        <v>2699</v>
      </c>
      <c r="E176" s="5"/>
      <c r="F176" s="5">
        <f>ROUND(Fuentes!J176*0.3048,2)</f>
        <v>10.09</v>
      </c>
      <c r="G176" s="7">
        <v>2</v>
      </c>
      <c r="H176" s="3"/>
      <c r="I176" s="3" t="s">
        <v>14</v>
      </c>
    </row>
    <row r="177" spans="1:9" ht="32.1" customHeight="1">
      <c r="A177" s="3" t="s">
        <v>346</v>
      </c>
      <c r="B177" s="4"/>
      <c r="C177" s="5"/>
      <c r="D177" s="6"/>
      <c r="E177" s="5"/>
      <c r="F177" s="5"/>
      <c r="G177" s="7"/>
      <c r="H177" s="3"/>
      <c r="I177" s="3" t="s">
        <v>83</v>
      </c>
    </row>
    <row r="178" spans="1:9" ht="32.1" customHeight="1">
      <c r="A178" s="3" t="s">
        <v>347</v>
      </c>
      <c r="B178" s="4" t="s">
        <v>348</v>
      </c>
      <c r="C178" s="5"/>
      <c r="D178" s="6">
        <f>ROUND(Fuentes!I178*0.45359237,0)</f>
        <v>6713</v>
      </c>
      <c r="E178" s="5"/>
      <c r="F178" s="5">
        <f>ROUND(Fuentes!J178*0.3048,2)</f>
        <v>14.54</v>
      </c>
      <c r="G178" s="7">
        <v>2</v>
      </c>
      <c r="H178" s="3"/>
      <c r="I178" s="3" t="s">
        <v>14</v>
      </c>
    </row>
    <row r="179" spans="1:9" ht="32.1" customHeight="1">
      <c r="A179" s="3" t="s">
        <v>349</v>
      </c>
      <c r="B179" s="4" t="s">
        <v>350</v>
      </c>
      <c r="C179" s="5">
        <v>77.3</v>
      </c>
      <c r="D179" s="6">
        <v>38101</v>
      </c>
      <c r="E179" s="5"/>
      <c r="F179" s="5">
        <v>26.16</v>
      </c>
      <c r="G179" s="7">
        <v>4</v>
      </c>
      <c r="H179" s="3"/>
      <c r="I179" s="3" t="s">
        <v>14</v>
      </c>
    </row>
    <row r="180" spans="1:9" ht="32.1" customHeight="1">
      <c r="A180" s="3" t="s">
        <v>351</v>
      </c>
      <c r="B180" s="4" t="s">
        <v>352</v>
      </c>
      <c r="C180" s="5"/>
      <c r="D180" s="6">
        <v>24000</v>
      </c>
      <c r="E180" s="5"/>
      <c r="F180" s="5">
        <v>23.8</v>
      </c>
      <c r="G180" s="7">
        <v>2</v>
      </c>
      <c r="H180" s="3"/>
      <c r="I180" s="3" t="s">
        <v>14</v>
      </c>
    </row>
    <row r="181" spans="1:9" ht="32.1" customHeight="1">
      <c r="A181" s="3" t="s">
        <v>353</v>
      </c>
      <c r="B181" s="4" t="s">
        <v>354</v>
      </c>
      <c r="C181" s="5"/>
      <c r="D181" s="6">
        <f>ROUND(Fuentes!I181*0.45359237,0)</f>
        <v>2310</v>
      </c>
      <c r="E181" s="5"/>
      <c r="F181" s="5">
        <f>ROUND(Fuentes!J181*0.3048,2)</f>
        <v>9.02</v>
      </c>
      <c r="G181" s="7">
        <v>1</v>
      </c>
      <c r="H181" s="3"/>
      <c r="I181" s="3" t="s">
        <v>14</v>
      </c>
    </row>
    <row r="182" spans="1:9" ht="32.1" customHeight="1">
      <c r="A182" s="3" t="s">
        <v>355</v>
      </c>
      <c r="B182" s="4" t="s">
        <v>356</v>
      </c>
      <c r="C182" s="5"/>
      <c r="D182" s="6"/>
      <c r="E182" s="5"/>
      <c r="F182" s="5"/>
      <c r="G182" s="7">
        <v>2</v>
      </c>
      <c r="H182" s="3"/>
      <c r="I182" s="3" t="s">
        <v>14</v>
      </c>
    </row>
    <row r="183" spans="1:9" ht="32.1" customHeight="1">
      <c r="A183" s="3" t="s">
        <v>357</v>
      </c>
      <c r="B183" s="4" t="s">
        <v>358</v>
      </c>
      <c r="C183" s="5">
        <v>39.43</v>
      </c>
      <c r="D183" s="6">
        <f>ROUND(Fuentes!I183*0.45359237,0)</f>
        <v>11990</v>
      </c>
      <c r="E183" s="5"/>
      <c r="F183" s="5">
        <f>ROUND(Fuentes!J183*0.3048,2)</f>
        <v>20.03</v>
      </c>
      <c r="G183" s="7">
        <v>2</v>
      </c>
      <c r="H183" s="3"/>
      <c r="I183" s="3" t="s">
        <v>14</v>
      </c>
    </row>
    <row r="184" spans="1:9" ht="32.1" customHeight="1">
      <c r="A184" s="3" t="s">
        <v>359</v>
      </c>
      <c r="B184" s="4" t="s">
        <v>360</v>
      </c>
      <c r="C184" s="5">
        <v>427.8</v>
      </c>
      <c r="D184" s="6">
        <f>ROUND(Fuentes!I184*0.45359237,0)</f>
        <v>299371</v>
      </c>
      <c r="E184" s="5">
        <v>73.86</v>
      </c>
      <c r="F184" s="5">
        <f>ROUND(Fuentes!J184*0.3048,2)</f>
        <v>63.73</v>
      </c>
      <c r="G184" s="7">
        <v>2</v>
      </c>
      <c r="H184" s="3"/>
      <c r="I184" s="3" t="s">
        <v>14</v>
      </c>
    </row>
    <row r="185" spans="1:9" ht="32.1" customHeight="1">
      <c r="A185" s="3" t="s">
        <v>361</v>
      </c>
      <c r="B185" s="4" t="s">
        <v>362</v>
      </c>
      <c r="C185" s="5"/>
      <c r="D185" s="6">
        <f>ROUND(Fuentes!I185*0.45359237,0)</f>
        <v>70307</v>
      </c>
      <c r="E185" s="5"/>
      <c r="F185" s="5">
        <f>ROUND(Fuentes!J185*0.3048,2)</f>
        <v>29.81</v>
      </c>
      <c r="G185" s="7">
        <v>4</v>
      </c>
      <c r="H185" s="3"/>
      <c r="I185" s="3" t="s">
        <v>14</v>
      </c>
    </row>
    <row r="186" spans="1:9" ht="32.1" customHeight="1">
      <c r="A186" s="3" t="s">
        <v>363</v>
      </c>
      <c r="B186" s="4"/>
      <c r="C186" s="5"/>
      <c r="D186" s="6"/>
      <c r="E186" s="5"/>
      <c r="F186" s="5"/>
      <c r="G186" s="7"/>
      <c r="H186" s="3"/>
      <c r="I186" s="3" t="s">
        <v>83</v>
      </c>
    </row>
    <row r="187" spans="1:9" ht="32.1" customHeight="1">
      <c r="A187" s="3" t="s">
        <v>364</v>
      </c>
      <c r="B187" s="4" t="s">
        <v>365</v>
      </c>
      <c r="C187" s="5"/>
      <c r="D187" s="6">
        <v>3000</v>
      </c>
      <c r="E187" s="5"/>
      <c r="F187" s="5">
        <v>13.04</v>
      </c>
      <c r="G187" s="7">
        <v>2</v>
      </c>
      <c r="H187" s="3"/>
      <c r="I187" s="3" t="s">
        <v>14</v>
      </c>
    </row>
    <row r="188" spans="1:9" ht="32.1" customHeight="1">
      <c r="A188" s="3" t="s">
        <v>366</v>
      </c>
      <c r="B188" s="4" t="s">
        <v>367</v>
      </c>
      <c r="C188" s="5">
        <v>24.6</v>
      </c>
      <c r="D188" s="6">
        <f>ROUND(Fuentes!I188*0.45359237,0)</f>
        <v>7031</v>
      </c>
      <c r="E188" s="5"/>
      <c r="F188" s="5">
        <f>ROUND(Fuentes!J188*0.3048,2)</f>
        <v>14.84</v>
      </c>
      <c r="G188" s="7">
        <v>2</v>
      </c>
      <c r="H188" s="3"/>
      <c r="I188" s="3" t="s">
        <v>14</v>
      </c>
    </row>
    <row r="189" spans="1:9" ht="32.1" customHeight="1">
      <c r="A189" s="3" t="s">
        <v>368</v>
      </c>
      <c r="B189" s="4" t="s">
        <v>369</v>
      </c>
      <c r="C189" s="5"/>
      <c r="D189" s="6">
        <f>ROUND(Fuentes!I189*0.45359237,0)</f>
        <v>3354</v>
      </c>
      <c r="E189" s="5"/>
      <c r="F189" s="5">
        <f>ROUND(Fuentes!J189*0.3048,2)</f>
        <v>10.64</v>
      </c>
      <c r="G189" s="7">
        <v>1</v>
      </c>
      <c r="H189" s="3"/>
      <c r="I189" s="3" t="s">
        <v>14</v>
      </c>
    </row>
    <row r="190" spans="1:9" ht="32.1" customHeight="1">
      <c r="A190" s="3" t="s">
        <v>370</v>
      </c>
      <c r="B190" s="4" t="s">
        <v>371</v>
      </c>
      <c r="C190" s="5"/>
      <c r="D190" s="6">
        <f>ROUND(Fuentes!I190*0.45359237,0)</f>
        <v>1814</v>
      </c>
      <c r="E190" s="5"/>
      <c r="F190" s="5">
        <f>ROUND(Fuentes!J190*0.3048,2)</f>
        <v>8.6</v>
      </c>
      <c r="G190" s="7">
        <v>1</v>
      </c>
      <c r="H190" s="3"/>
      <c r="I190" s="3" t="s">
        <v>14</v>
      </c>
    </row>
    <row r="191" spans="1:9" ht="32.1" customHeight="1">
      <c r="A191" s="3" t="s">
        <v>372</v>
      </c>
      <c r="B191" s="4" t="s">
        <v>373</v>
      </c>
      <c r="C191" s="5"/>
      <c r="D191" s="6">
        <f>ROUND(Fuentes!I191*0.45359237,0)</f>
        <v>16375</v>
      </c>
      <c r="E191" s="5"/>
      <c r="F191" s="5">
        <f>ROUND(Fuentes!J191*0.3048,2)</f>
        <v>22.04</v>
      </c>
      <c r="G191" s="7">
        <v>2</v>
      </c>
      <c r="H191" s="3"/>
      <c r="I191" s="3" t="s">
        <v>14</v>
      </c>
    </row>
    <row r="192" spans="1:9" ht="32.1" customHeight="1">
      <c r="A192" s="3" t="s">
        <v>374</v>
      </c>
      <c r="B192" s="4" t="s">
        <v>375</v>
      </c>
      <c r="C192" s="5"/>
      <c r="D192" s="6">
        <v>3175</v>
      </c>
      <c r="E192" s="5"/>
      <c r="F192" s="5"/>
      <c r="G192" s="7">
        <v>2</v>
      </c>
      <c r="H192" s="3"/>
      <c r="I192" s="3" t="s">
        <v>14</v>
      </c>
    </row>
    <row r="193" spans="1:9" ht="32.1" customHeight="1">
      <c r="A193" s="3" t="s">
        <v>376</v>
      </c>
      <c r="B193" s="4" t="s">
        <v>377</v>
      </c>
      <c r="C193" s="5"/>
      <c r="D193" s="6">
        <f>ROUND(Fuentes!I193*0.45359237,0)</f>
        <v>16465</v>
      </c>
      <c r="E193" s="5"/>
      <c r="F193" s="5">
        <f>ROUND(Fuentes!J193*0.3048,2)</f>
        <v>22.25</v>
      </c>
      <c r="G193" s="7">
        <v>2</v>
      </c>
      <c r="H193" s="3"/>
      <c r="I193" s="3" t="s">
        <v>14</v>
      </c>
    </row>
    <row r="194" spans="1:9" ht="32.1" customHeight="1">
      <c r="A194" s="3" t="s">
        <v>378</v>
      </c>
      <c r="B194" s="4" t="s">
        <v>379</v>
      </c>
      <c r="C194" s="5"/>
      <c r="D194" s="6">
        <f>ROUND(Fuentes!I194*0.45359237,0)</f>
        <v>2495</v>
      </c>
      <c r="E194" s="5"/>
      <c r="F194" s="5">
        <f>ROUND(Fuentes!J194*0.3048,2)</f>
        <v>9.08</v>
      </c>
      <c r="G194" s="7">
        <v>2</v>
      </c>
      <c r="H194" s="3"/>
      <c r="I194" s="3" t="s">
        <v>14</v>
      </c>
    </row>
    <row r="195" spans="1:9" ht="32.1" customHeight="1">
      <c r="A195" s="3" t="s">
        <v>380</v>
      </c>
      <c r="B195" s="4"/>
      <c r="C195" s="5"/>
      <c r="D195" s="6"/>
      <c r="E195" s="5"/>
      <c r="F195" s="5"/>
      <c r="G195" s="7"/>
      <c r="H195" s="3"/>
      <c r="I195" s="3" t="s">
        <v>83</v>
      </c>
    </row>
    <row r="196" spans="1:9" ht="32.1" customHeight="1">
      <c r="A196" s="3" t="s">
        <v>381</v>
      </c>
      <c r="B196" s="4" t="s">
        <v>382</v>
      </c>
      <c r="C196" s="5"/>
      <c r="D196" s="6">
        <f>ROUND(Fuentes!I196*0.45359237,0)</f>
        <v>2948</v>
      </c>
      <c r="E196" s="5"/>
      <c r="F196" s="5">
        <f>ROUND(Fuentes!J196*0.3048,2)</f>
        <v>9.94</v>
      </c>
      <c r="G196" s="7">
        <v>2</v>
      </c>
      <c r="H196" s="3"/>
      <c r="I196" s="3" t="s">
        <v>14</v>
      </c>
    </row>
    <row r="197" spans="1:9" ht="32.1" customHeight="1">
      <c r="A197" s="3" t="s">
        <v>383</v>
      </c>
      <c r="B197" s="4"/>
      <c r="C197" s="5"/>
      <c r="D197" s="6"/>
      <c r="E197" s="5"/>
      <c r="F197" s="5"/>
      <c r="G197" s="7"/>
      <c r="H197" s="3"/>
      <c r="I197" s="3" t="s">
        <v>83</v>
      </c>
    </row>
    <row r="198" spans="1:9" ht="32.1" customHeight="1">
      <c r="A198" s="3" t="s">
        <v>384</v>
      </c>
      <c r="B198" s="4" t="s">
        <v>385</v>
      </c>
      <c r="C198" s="5"/>
      <c r="D198" s="6">
        <f>ROUND(Fuentes!I198*0.45359237,0)</f>
        <v>52390</v>
      </c>
      <c r="E198" s="5"/>
      <c r="F198" s="5">
        <f>ROUND(Fuentes!J198*0.3048,2)</f>
        <v>30.54</v>
      </c>
      <c r="G198" s="7">
        <v>2</v>
      </c>
      <c r="H198" s="3"/>
      <c r="I198" s="3" t="s">
        <v>14</v>
      </c>
    </row>
    <row r="199" spans="1:9" ht="32.1" customHeight="1">
      <c r="A199" s="3" t="s">
        <v>386</v>
      </c>
      <c r="B199" s="4" t="s">
        <v>387</v>
      </c>
      <c r="C199" s="5"/>
      <c r="D199" s="6">
        <f>ROUND(Fuentes!I199*0.45359237,0)</f>
        <v>6954</v>
      </c>
      <c r="E199" s="5"/>
      <c r="F199" s="5">
        <f>ROUND(Fuentes!J199*0.3048,2)</f>
        <v>14.36</v>
      </c>
      <c r="G199" s="7">
        <v>2</v>
      </c>
      <c r="H199" s="3"/>
      <c r="I199" s="3" t="s">
        <v>14</v>
      </c>
    </row>
    <row r="200" spans="1:9" ht="32.1" customHeight="1">
      <c r="A200" s="3" t="s">
        <v>388</v>
      </c>
      <c r="B200" s="4" t="s">
        <v>389</v>
      </c>
      <c r="C200" s="5"/>
      <c r="D200" s="6">
        <f>ROUND(Fuentes!I200*0.45359237,0)</f>
        <v>5670</v>
      </c>
      <c r="E200" s="5"/>
      <c r="F200" s="5">
        <f>ROUND(Fuentes!J200*0.3048,2)</f>
        <v>15.79</v>
      </c>
      <c r="G200" s="7">
        <v>2</v>
      </c>
      <c r="H200" s="3"/>
      <c r="I200" s="3" t="s">
        <v>14</v>
      </c>
    </row>
    <row r="201" spans="1:9" ht="32.1" customHeight="1">
      <c r="A201" s="3" t="s">
        <v>390</v>
      </c>
      <c r="B201" s="4" t="s">
        <v>391</v>
      </c>
      <c r="C201" s="5"/>
      <c r="D201" s="6">
        <f>ROUND(Fuentes!I201*0.45359237,0)</f>
        <v>404999</v>
      </c>
      <c r="E201" s="5"/>
      <c r="F201" s="5">
        <f>ROUND(Fuentes!J201*0.3048,2)</f>
        <v>68.95</v>
      </c>
      <c r="G201" s="7">
        <v>4</v>
      </c>
      <c r="H201" s="3"/>
      <c r="I201" s="3" t="s">
        <v>14</v>
      </c>
    </row>
    <row r="202" spans="1:9" ht="32.1" customHeight="1">
      <c r="A202" s="3" t="s">
        <v>392</v>
      </c>
      <c r="B202" s="4" t="s">
        <v>393</v>
      </c>
      <c r="C202" s="5"/>
      <c r="D202" s="6">
        <f>ROUND(Fuentes!I202*0.45359237,0)</f>
        <v>1107</v>
      </c>
      <c r="E202" s="5"/>
      <c r="F202" s="5">
        <f>ROUND(Fuentes!J202*0.3048,2)</f>
        <v>7.25</v>
      </c>
      <c r="G202" s="7">
        <v>1</v>
      </c>
      <c r="H202" s="3"/>
      <c r="I202" s="3" t="s">
        <v>14</v>
      </c>
    </row>
    <row r="203" spans="1:9" ht="32.1" customHeight="1">
      <c r="A203" s="3" t="s">
        <v>394</v>
      </c>
      <c r="B203" s="4" t="s">
        <v>395</v>
      </c>
      <c r="C203" s="5"/>
      <c r="D203" s="6">
        <f>ROUND(Fuentes!I203*0.45359237,0)</f>
        <v>2313</v>
      </c>
      <c r="E203" s="5"/>
      <c r="F203" s="5">
        <f>ROUND(Fuentes!J203*0.3048,2)</f>
        <v>8.5299999999999994</v>
      </c>
      <c r="G203" s="7">
        <v>2</v>
      </c>
      <c r="H203" s="3"/>
      <c r="I203" s="3" t="s">
        <v>14</v>
      </c>
    </row>
    <row r="204" spans="1:9" ht="32.1" customHeight="1">
      <c r="A204" s="3" t="s">
        <v>396</v>
      </c>
      <c r="B204" s="4" t="s">
        <v>397</v>
      </c>
      <c r="C204" s="5"/>
      <c r="D204" s="6">
        <f>ROUND(Fuentes!I204*0.45359237,0)</f>
        <v>13000</v>
      </c>
      <c r="E204" s="5"/>
      <c r="F204" s="5">
        <f>ROUND(Fuentes!J204*0.3048,2)</f>
        <v>17.16</v>
      </c>
      <c r="G204" s="7">
        <v>2</v>
      </c>
      <c r="H204" s="3"/>
      <c r="I204" s="3" t="s">
        <v>14</v>
      </c>
    </row>
    <row r="205" spans="1:9" ht="32.1" customHeight="1">
      <c r="A205" s="3" t="s">
        <v>398</v>
      </c>
      <c r="B205" s="4" t="s">
        <v>399</v>
      </c>
      <c r="C205" s="5"/>
      <c r="D205" s="6">
        <f>ROUND(Fuentes!I205*0.45359237,0)</f>
        <v>70307</v>
      </c>
      <c r="E205" s="5"/>
      <c r="F205" s="5">
        <f>ROUND(Fuentes!J205*0.3048,2)</f>
        <v>34.380000000000003</v>
      </c>
      <c r="G205" s="7">
        <v>4</v>
      </c>
      <c r="H205" s="3"/>
      <c r="I205" s="3" t="s">
        <v>14</v>
      </c>
    </row>
    <row r="206" spans="1:9" ht="32.1" customHeight="1">
      <c r="A206" s="3" t="s">
        <v>400</v>
      </c>
      <c r="B206" s="4" t="s">
        <v>401</v>
      </c>
      <c r="C206" s="5"/>
      <c r="D206" s="6">
        <f>ROUND(Fuentes!I206*0.45359237,0)</f>
        <v>18600</v>
      </c>
      <c r="E206" s="5"/>
      <c r="F206" s="5">
        <f>ROUND(Fuentes!J206*0.3048,2)</f>
        <v>22.68</v>
      </c>
      <c r="G206" s="7">
        <v>2</v>
      </c>
      <c r="H206" s="3"/>
      <c r="I206" s="3" t="s">
        <v>14</v>
      </c>
    </row>
    <row r="207" spans="1:9" ht="32.1" customHeight="1">
      <c r="A207" s="3" t="s">
        <v>402</v>
      </c>
      <c r="B207" s="4" t="s">
        <v>403</v>
      </c>
      <c r="C207" s="5"/>
      <c r="D207" s="6">
        <v>250000</v>
      </c>
      <c r="E207" s="5"/>
      <c r="F207" s="5">
        <v>55.3</v>
      </c>
      <c r="G207" s="7">
        <v>4</v>
      </c>
      <c r="H207" s="3"/>
      <c r="I207" s="3" t="s">
        <v>14</v>
      </c>
    </row>
    <row r="208" spans="1:9" ht="32.1" customHeight="1">
      <c r="A208" s="3" t="s">
        <v>404</v>
      </c>
      <c r="B208" s="4" t="s">
        <v>405</v>
      </c>
      <c r="C208" s="5"/>
      <c r="D208" s="6">
        <f>ROUND(Fuentes!I208*0.45359237,0)</f>
        <v>5375</v>
      </c>
      <c r="E208" s="5"/>
      <c r="F208" s="5">
        <f>ROUND(Fuentes!J208*0.3048,2)</f>
        <v>13.26</v>
      </c>
      <c r="G208" s="7">
        <v>2</v>
      </c>
      <c r="H208" s="3"/>
      <c r="I208" s="3" t="s">
        <v>14</v>
      </c>
    </row>
    <row r="209" spans="1:9" ht="32.1" customHeight="1">
      <c r="A209" s="3" t="s">
        <v>406</v>
      </c>
      <c r="B209" s="4" t="s">
        <v>407</v>
      </c>
      <c r="C209" s="5"/>
      <c r="D209" s="6">
        <v>2722</v>
      </c>
      <c r="E209" s="5"/>
      <c r="F209" s="5">
        <v>9</v>
      </c>
      <c r="G209" s="7">
        <v>1</v>
      </c>
      <c r="H209" s="3"/>
      <c r="I209" s="3" t="s">
        <v>14</v>
      </c>
    </row>
    <row r="210" spans="1:9" ht="32.1" customHeight="1">
      <c r="A210" s="3" t="s">
        <v>408</v>
      </c>
      <c r="B210" s="4"/>
      <c r="C210" s="5"/>
      <c r="D210" s="6"/>
      <c r="E210" s="5"/>
      <c r="F210" s="5"/>
      <c r="G210" s="7"/>
      <c r="H210" s="3"/>
      <c r="I210" s="3" t="s">
        <v>83</v>
      </c>
    </row>
    <row r="211" spans="1:9" ht="32.1" customHeight="1">
      <c r="A211" s="3" t="s">
        <v>409</v>
      </c>
      <c r="B211" s="4" t="s">
        <v>410</v>
      </c>
      <c r="C211" s="5"/>
      <c r="D211" s="6">
        <f>ROUND(Fuentes!I211*0.45359237,0)</f>
        <v>5250</v>
      </c>
      <c r="E211" s="5"/>
      <c r="F211" s="5">
        <f>ROUND(Fuentes!J211*0.3048,2)</f>
        <v>12.01</v>
      </c>
      <c r="G211" s="7">
        <v>2</v>
      </c>
      <c r="H211" s="3"/>
      <c r="I211" s="3" t="s">
        <v>14</v>
      </c>
    </row>
    <row r="212" spans="1:9" ht="32.1" customHeight="1">
      <c r="A212" s="3" t="s">
        <v>411</v>
      </c>
      <c r="B212" s="4" t="s">
        <v>412</v>
      </c>
      <c r="C212" s="5"/>
      <c r="D212" s="6">
        <f>ROUND(Fuentes!I212*0.45359237,0)</f>
        <v>1969</v>
      </c>
      <c r="E212" s="5"/>
      <c r="F212" s="5">
        <f>ROUND(Fuentes!J212*0.3048,2)</f>
        <v>8.81</v>
      </c>
      <c r="G212" s="7">
        <v>1</v>
      </c>
      <c r="H212" s="3"/>
      <c r="I212" s="3" t="s">
        <v>14</v>
      </c>
    </row>
    <row r="213" spans="1:9" ht="32.1" customHeight="1">
      <c r="A213" s="3" t="s">
        <v>413</v>
      </c>
      <c r="B213" s="4"/>
      <c r="C213" s="5"/>
      <c r="D213" s="6"/>
      <c r="E213" s="5"/>
      <c r="F213" s="5"/>
      <c r="G213" s="7"/>
      <c r="H213" s="3"/>
      <c r="I213" s="3" t="s">
        <v>83</v>
      </c>
    </row>
    <row r="214" spans="1:9" ht="32.1" customHeight="1">
      <c r="A214" s="3" t="s">
        <v>414</v>
      </c>
      <c r="B214" s="4" t="s">
        <v>415</v>
      </c>
      <c r="C214" s="5"/>
      <c r="D214" s="6">
        <f>ROUND(Fuentes!I214*0.45359237,0)</f>
        <v>1633</v>
      </c>
      <c r="E214" s="5"/>
      <c r="F214" s="5">
        <f>ROUND(Fuentes!J214*0.3048,2)</f>
        <v>8.6300000000000008</v>
      </c>
      <c r="G214" s="7">
        <v>1</v>
      </c>
      <c r="H214" s="3"/>
      <c r="I214" s="3" t="s">
        <v>14</v>
      </c>
    </row>
    <row r="215" spans="1:9" ht="32.1" customHeight="1">
      <c r="A215" s="3" t="s">
        <v>416</v>
      </c>
      <c r="B215" s="4" t="s">
        <v>417</v>
      </c>
      <c r="C215" s="5"/>
      <c r="D215" s="6">
        <f>ROUND(Fuentes!I215*0.45359237,0)</f>
        <v>1406</v>
      </c>
      <c r="E215" s="5"/>
      <c r="F215" s="5">
        <f>ROUND(Fuentes!J215*0.3048,2)</f>
        <v>8.84</v>
      </c>
      <c r="G215" s="7">
        <v>1</v>
      </c>
      <c r="H215" s="3"/>
      <c r="I215" s="3" t="s">
        <v>14</v>
      </c>
    </row>
    <row r="216" spans="1:9" ht="32.1" customHeight="1">
      <c r="A216" s="3" t="s">
        <v>418</v>
      </c>
      <c r="B216" s="4" t="s">
        <v>419</v>
      </c>
      <c r="C216" s="5"/>
      <c r="D216" s="6">
        <v>10660</v>
      </c>
      <c r="E216" s="5"/>
      <c r="F216" s="5">
        <v>19.760000000000002</v>
      </c>
      <c r="G216" s="7">
        <v>2</v>
      </c>
      <c r="H216" s="3"/>
      <c r="I216" s="3" t="s">
        <v>14</v>
      </c>
    </row>
    <row r="217" spans="1:9" ht="32.1" customHeight="1">
      <c r="A217" s="3" t="s">
        <v>420</v>
      </c>
      <c r="B217" s="4" t="s">
        <v>421</v>
      </c>
      <c r="C217" s="5"/>
      <c r="D217" s="6">
        <f>ROUND(Fuentes!I217*0.45359237,0)</f>
        <v>3062</v>
      </c>
      <c r="E217" s="5"/>
      <c r="F217" s="5">
        <f>ROUND(Fuentes!J217*0.3048,2)</f>
        <v>11.09</v>
      </c>
      <c r="G217" s="7">
        <v>2</v>
      </c>
      <c r="H217" s="3"/>
      <c r="I217" s="3" t="s">
        <v>14</v>
      </c>
    </row>
    <row r="218" spans="1:9" ht="32.1" customHeight="1">
      <c r="A218" s="3" t="s">
        <v>422</v>
      </c>
      <c r="B218" s="4" t="s">
        <v>423</v>
      </c>
      <c r="C218" s="5"/>
      <c r="D218" s="6">
        <f>ROUND(Fuentes!I218*0.45359237,0)</f>
        <v>1530</v>
      </c>
      <c r="E218" s="5"/>
      <c r="F218" s="5">
        <f>ROUND(Fuentes!J218*0.3048,2)</f>
        <v>8.17</v>
      </c>
      <c r="G218" s="7">
        <v>1</v>
      </c>
      <c r="H218" s="3"/>
      <c r="I218" s="3" t="s">
        <v>14</v>
      </c>
    </row>
    <row r="219" spans="1:9" ht="32.1" customHeight="1">
      <c r="A219" s="3" t="s">
        <v>424</v>
      </c>
      <c r="B219" s="4"/>
      <c r="C219" s="5"/>
      <c r="D219" s="6"/>
      <c r="E219" s="5"/>
      <c r="F219" s="5"/>
      <c r="G219" s="7"/>
      <c r="H219" s="3"/>
      <c r="I219" s="3" t="s">
        <v>83</v>
      </c>
    </row>
    <row r="220" spans="1:9" ht="32.1" customHeight="1">
      <c r="A220" s="3" t="s">
        <v>425</v>
      </c>
      <c r="B220" s="4" t="s">
        <v>426</v>
      </c>
      <c r="C220" s="5"/>
      <c r="D220" s="6">
        <f>ROUND(Fuentes!I220*0.45359237,0)</f>
        <v>6350</v>
      </c>
      <c r="E220" s="5"/>
      <c r="F220" s="5">
        <f>ROUND(Fuentes!J220*0.3048,2)</f>
        <v>14.23</v>
      </c>
      <c r="G220" s="7">
        <v>2</v>
      </c>
      <c r="H220" s="3"/>
      <c r="I220" s="3" t="s">
        <v>14</v>
      </c>
    </row>
    <row r="221" spans="1:9" ht="32.1" customHeight="1">
      <c r="A221" s="3" t="s">
        <v>427</v>
      </c>
      <c r="B221" s="4" t="s">
        <v>428</v>
      </c>
      <c r="C221" s="5"/>
      <c r="D221" s="6">
        <v>11160</v>
      </c>
      <c r="E221" s="5"/>
      <c r="F221" s="5"/>
      <c r="G221" s="7">
        <v>2</v>
      </c>
      <c r="H221" s="3"/>
      <c r="I221" s="3" t="s">
        <v>14</v>
      </c>
    </row>
    <row r="222" spans="1:9" ht="32.1" customHeight="1">
      <c r="A222" s="3" t="s">
        <v>429</v>
      </c>
      <c r="B222" s="4" t="s">
        <v>430</v>
      </c>
      <c r="C222" s="5"/>
      <c r="D222" s="6">
        <f>ROUND(Fuentes!I222*0.45359237,0)</f>
        <v>5670</v>
      </c>
      <c r="E222" s="5"/>
      <c r="F222" s="5">
        <f>ROUND(Fuentes!J222*0.3048,2)</f>
        <v>12.86</v>
      </c>
      <c r="G222" s="7">
        <v>2</v>
      </c>
      <c r="H222" s="3"/>
      <c r="I222" s="3" t="s">
        <v>14</v>
      </c>
    </row>
    <row r="223" spans="1:9" ht="32.1" customHeight="1">
      <c r="A223" s="3" t="s">
        <v>431</v>
      </c>
      <c r="B223" s="4" t="s">
        <v>432</v>
      </c>
      <c r="C223" s="5"/>
      <c r="D223" s="6">
        <v>1999</v>
      </c>
      <c r="E223" s="5"/>
      <c r="F223" s="5">
        <v>9.24</v>
      </c>
      <c r="G223" s="7">
        <v>1</v>
      </c>
      <c r="H223" s="3"/>
      <c r="I223" s="3" t="s">
        <v>14</v>
      </c>
    </row>
    <row r="224" spans="1:9" ht="32.1" customHeight="1">
      <c r="A224" s="3" t="s">
        <v>433</v>
      </c>
      <c r="B224" s="4" t="s">
        <v>434</v>
      </c>
      <c r="C224" s="5">
        <v>61</v>
      </c>
      <c r="D224" s="6">
        <v>22000</v>
      </c>
      <c r="E224" s="5"/>
      <c r="F224" s="5">
        <v>27.166</v>
      </c>
      <c r="G224" s="7">
        <v>2</v>
      </c>
      <c r="H224" s="3"/>
      <c r="I224" s="3" t="s">
        <v>14</v>
      </c>
    </row>
    <row r="225" spans="1:9" ht="32.1" customHeight="1">
      <c r="A225" s="3" t="s">
        <v>435</v>
      </c>
      <c r="B225" s="4" t="s">
        <v>436</v>
      </c>
      <c r="C225" s="5"/>
      <c r="D225" s="6">
        <f>ROUND(Fuentes!I225*0.45359237,0)</f>
        <v>11839</v>
      </c>
      <c r="E225" s="5"/>
      <c r="F225" s="5">
        <f>ROUND(Fuentes!J225*0.3048,2)</f>
        <v>17.309999999999999</v>
      </c>
      <c r="G225" s="7">
        <v>2</v>
      </c>
      <c r="H225" s="3"/>
      <c r="I225" s="3" t="s">
        <v>14</v>
      </c>
    </row>
    <row r="226" spans="1:9" ht="32.1" customHeight="1">
      <c r="A226" s="3" t="s">
        <v>437</v>
      </c>
      <c r="B226" s="4"/>
      <c r="C226" s="5"/>
      <c r="D226" s="6"/>
      <c r="E226" s="5"/>
      <c r="F226" s="5"/>
      <c r="G226" s="7"/>
      <c r="H226" s="3"/>
      <c r="I226" s="3" t="s">
        <v>83</v>
      </c>
    </row>
    <row r="227" spans="1:9" ht="32.1" customHeight="1">
      <c r="A227" s="3" t="s">
        <v>438</v>
      </c>
      <c r="B227" s="4" t="s">
        <v>439</v>
      </c>
      <c r="C227" s="5"/>
      <c r="D227" s="6">
        <v>6400</v>
      </c>
      <c r="E227" s="5"/>
      <c r="F227" s="5">
        <v>14.4</v>
      </c>
      <c r="G227" s="7">
        <v>2</v>
      </c>
      <c r="H227" s="3"/>
      <c r="I227" s="3" t="s">
        <v>14</v>
      </c>
    </row>
    <row r="228" spans="1:9" ht="32.1" customHeight="1">
      <c r="A228" s="3" t="s">
        <v>440</v>
      </c>
      <c r="B228" s="4" t="s">
        <v>441</v>
      </c>
      <c r="C228" s="5"/>
      <c r="D228" s="6">
        <f>ROUND(Fuentes!I228*0.45359237,0)</f>
        <v>1528</v>
      </c>
      <c r="E228" s="5"/>
      <c r="F228" s="5">
        <f>ROUND(Fuentes!J228*0.3048,2)</f>
        <v>8.17</v>
      </c>
      <c r="G228" s="7">
        <v>1</v>
      </c>
      <c r="H228" s="3"/>
      <c r="I228" s="3" t="s">
        <v>14</v>
      </c>
    </row>
    <row r="229" spans="1:9" ht="32.1" customHeight="1">
      <c r="A229" s="3" t="s">
        <v>442</v>
      </c>
      <c r="B229" s="4" t="s">
        <v>443</v>
      </c>
      <c r="C229" s="5"/>
      <c r="D229" s="6">
        <f>ROUND(Fuentes!I229*0.45359237,0)</f>
        <v>3291</v>
      </c>
      <c r="E229" s="5"/>
      <c r="F229" s="5">
        <f>ROUND(Fuentes!J229*0.3048,2)</f>
        <v>10.42</v>
      </c>
      <c r="G229" s="7">
        <v>1</v>
      </c>
      <c r="H229" s="3"/>
      <c r="I229" s="3" t="s">
        <v>14</v>
      </c>
    </row>
    <row r="230" spans="1:9" ht="32.1" customHeight="1">
      <c r="A230" s="3" t="s">
        <v>444</v>
      </c>
      <c r="B230" s="4" t="s">
        <v>445</v>
      </c>
      <c r="C230" s="5"/>
      <c r="D230" s="6">
        <f>ROUND(Fuentes!I230*0.45359237,0)</f>
        <v>1406</v>
      </c>
      <c r="E230" s="5"/>
      <c r="F230" s="5">
        <f>ROUND(Fuentes!J230*0.3048,2)</f>
        <v>8.84</v>
      </c>
      <c r="G230" s="7">
        <v>1</v>
      </c>
      <c r="H230" s="3"/>
      <c r="I230" s="3" t="s">
        <v>14</v>
      </c>
    </row>
    <row r="231" spans="1:9" ht="32.1" customHeight="1">
      <c r="A231" s="3" t="s">
        <v>446</v>
      </c>
      <c r="B231" s="4" t="s">
        <v>447</v>
      </c>
      <c r="C231" s="5"/>
      <c r="D231" s="6">
        <f>ROUND(Fuentes!I231*0.45359237,0)</f>
        <v>1542</v>
      </c>
      <c r="E231" s="5"/>
      <c r="F231" s="5">
        <f>ROUND(Fuentes!J231*0.3048,2)</f>
        <v>8.14</v>
      </c>
      <c r="G231" s="7">
        <v>1</v>
      </c>
      <c r="H231" s="3"/>
      <c r="I231" s="3" t="s">
        <v>14</v>
      </c>
    </row>
    <row r="232" spans="1:9" ht="32.1" customHeight="1">
      <c r="A232" s="3" t="s">
        <v>448</v>
      </c>
      <c r="B232" s="4" t="s">
        <v>449</v>
      </c>
      <c r="C232" s="5"/>
      <c r="D232" s="6">
        <f>ROUND(Fuentes!I232*0.45359237,0)</f>
        <v>31615</v>
      </c>
      <c r="E232" s="5"/>
      <c r="F232" s="5">
        <f>ROUND(Fuentes!J232*0.3048,2)</f>
        <v>25.33</v>
      </c>
      <c r="G232" s="7">
        <v>2</v>
      </c>
      <c r="H232" s="3"/>
      <c r="I232" s="3" t="s">
        <v>14</v>
      </c>
    </row>
    <row r="233" spans="1:9" ht="32.1" customHeight="1">
      <c r="A233" s="3" t="s">
        <v>450</v>
      </c>
      <c r="B233" s="4" t="s">
        <v>451</v>
      </c>
      <c r="C233" s="5"/>
      <c r="D233" s="6">
        <f>ROUND(Fuentes!I233*0.45359237,0)</f>
        <v>1315</v>
      </c>
      <c r="E233" s="5"/>
      <c r="F233" s="5">
        <f>ROUND(Fuentes!J233*0.3048,2)</f>
        <v>7.56</v>
      </c>
      <c r="G233" s="7">
        <v>1</v>
      </c>
      <c r="H233" s="3"/>
      <c r="I233" s="3" t="s">
        <v>14</v>
      </c>
    </row>
    <row r="234" spans="1:9" ht="32.1" customHeight="1">
      <c r="A234" s="3" t="s">
        <v>452</v>
      </c>
      <c r="B234" s="4" t="s">
        <v>453</v>
      </c>
      <c r="C234" s="5">
        <v>40.97</v>
      </c>
      <c r="D234" s="6">
        <v>8618</v>
      </c>
      <c r="E234" s="5"/>
      <c r="F234" s="5">
        <v>16.8</v>
      </c>
      <c r="G234" s="7">
        <v>2</v>
      </c>
      <c r="H234" s="3"/>
      <c r="I234" s="3" t="s">
        <v>14</v>
      </c>
    </row>
    <row r="235" spans="1:9" ht="32.1" customHeight="1">
      <c r="A235" s="3" t="s">
        <v>454</v>
      </c>
      <c r="B235" s="4" t="s">
        <v>455</v>
      </c>
      <c r="C235" s="5"/>
      <c r="D235" s="6">
        <v>36740</v>
      </c>
      <c r="E235" s="5"/>
      <c r="F235" s="5">
        <v>30.9</v>
      </c>
      <c r="G235" s="7">
        <v>2</v>
      </c>
      <c r="H235" s="3"/>
      <c r="I235" s="3" t="s">
        <v>14</v>
      </c>
    </row>
    <row r="236" spans="1:9" ht="32.1" customHeight="1">
      <c r="A236" s="3" t="s">
        <v>456</v>
      </c>
      <c r="B236" s="4"/>
      <c r="C236" s="5"/>
      <c r="D236" s="6"/>
      <c r="E236" s="5"/>
      <c r="F236" s="5"/>
      <c r="G236" s="7"/>
      <c r="H236" s="3"/>
      <c r="I236" s="3" t="s">
        <v>83</v>
      </c>
    </row>
    <row r="237" spans="1:9" ht="32.1" customHeight="1">
      <c r="A237" s="3" t="s">
        <v>457</v>
      </c>
      <c r="B237" s="4" t="s">
        <v>458</v>
      </c>
      <c r="C237" s="5"/>
      <c r="D237" s="6">
        <f>ROUND(Fuentes!I237*0.45359237,0)</f>
        <v>1633</v>
      </c>
      <c r="E237" s="5"/>
      <c r="F237" s="5">
        <f>ROUND(Fuentes!J237*0.3048,2)</f>
        <v>8.44</v>
      </c>
      <c r="G237" s="7">
        <v>1</v>
      </c>
      <c r="H237" s="3"/>
      <c r="I237" s="3" t="s">
        <v>14</v>
      </c>
    </row>
    <row r="238" spans="1:9" ht="32.1" customHeight="1">
      <c r="A238" s="3" t="s">
        <v>459</v>
      </c>
      <c r="B238" s="4" t="s">
        <v>460</v>
      </c>
      <c r="C238" s="5"/>
      <c r="D238" s="6">
        <f>ROUND(Fuentes!I238*0.45359237,0)</f>
        <v>1724</v>
      </c>
      <c r="E238" s="5"/>
      <c r="F238" s="5">
        <f>ROUND(Fuentes!J238*0.3048,2)</f>
        <v>8.6</v>
      </c>
      <c r="G238" s="7">
        <v>1</v>
      </c>
      <c r="H238" s="3"/>
      <c r="I238" s="3" t="s">
        <v>14</v>
      </c>
    </row>
    <row r="239" spans="1:9" ht="32.1" customHeight="1">
      <c r="A239" s="3" t="s">
        <v>461</v>
      </c>
      <c r="B239" s="4" t="s">
        <v>462</v>
      </c>
      <c r="C239" s="5"/>
      <c r="D239" s="6">
        <f>ROUND(Fuentes!I239*0.45359237,0)</f>
        <v>18643</v>
      </c>
      <c r="E239" s="5"/>
      <c r="F239" s="5">
        <f>ROUND(Fuentes!J239*0.3048,2)</f>
        <v>25.69</v>
      </c>
      <c r="G239" s="7">
        <v>2</v>
      </c>
      <c r="H239" s="3"/>
      <c r="I239" s="3" t="s">
        <v>14</v>
      </c>
    </row>
    <row r="240" spans="1:9" ht="32.1" customHeight="1">
      <c r="A240" s="3" t="s">
        <v>463</v>
      </c>
      <c r="B240" s="4" t="s">
        <v>464</v>
      </c>
      <c r="C240" s="5"/>
      <c r="D240" s="6">
        <v>2770</v>
      </c>
      <c r="E240" s="5"/>
      <c r="F240" s="5">
        <v>10.9</v>
      </c>
      <c r="G240" s="7">
        <v>1</v>
      </c>
      <c r="H240" s="3"/>
      <c r="I240" s="3" t="s">
        <v>14</v>
      </c>
    </row>
    <row r="241" spans="1:9" ht="32.1" customHeight="1">
      <c r="A241" s="3" t="s">
        <v>465</v>
      </c>
      <c r="B241" s="4" t="s">
        <v>466</v>
      </c>
      <c r="C241" s="5"/>
      <c r="D241" s="6">
        <f>ROUND(Fuentes!I241*0.45359237,0)</f>
        <v>22700</v>
      </c>
      <c r="E241" s="5"/>
      <c r="F241" s="5">
        <f>ROUND(Fuentes!J241*0.3048,2)</f>
        <v>16.25</v>
      </c>
      <c r="G241" s="7">
        <v>2</v>
      </c>
      <c r="H241" s="3"/>
      <c r="I241" s="3" t="s">
        <v>14</v>
      </c>
    </row>
    <row r="242" spans="1:9" ht="32.1" customHeight="1">
      <c r="A242" s="3" t="s">
        <v>467</v>
      </c>
      <c r="B242" s="4" t="s">
        <v>468</v>
      </c>
      <c r="C242" s="5"/>
      <c r="D242" s="6">
        <f>ROUND(Fuentes!I242*0.45359237,0)</f>
        <v>3946</v>
      </c>
      <c r="E242" s="5"/>
      <c r="F242" s="5">
        <f>ROUND(Fuentes!J242*0.3048,2)</f>
        <v>10.58</v>
      </c>
      <c r="G242" s="7">
        <v>2</v>
      </c>
      <c r="H242" s="3"/>
      <c r="I242" s="3" t="s">
        <v>14</v>
      </c>
    </row>
    <row r="243" spans="1:9" ht="32.1" customHeight="1">
      <c r="A243" s="3" t="s">
        <v>469</v>
      </c>
      <c r="B243" s="4" t="s">
        <v>470</v>
      </c>
      <c r="C243" s="5">
        <v>32</v>
      </c>
      <c r="D243" s="6">
        <v>6400</v>
      </c>
      <c r="E243" s="5"/>
      <c r="F243" s="5">
        <v>16.559999999999999</v>
      </c>
      <c r="G243" s="7">
        <v>2</v>
      </c>
      <c r="H243" s="3"/>
      <c r="I243" s="3" t="s">
        <v>14</v>
      </c>
    </row>
    <row r="244" spans="1:9" ht="32.1" customHeight="1">
      <c r="A244" s="3" t="s">
        <v>471</v>
      </c>
      <c r="B244" s="4" t="s">
        <v>472</v>
      </c>
      <c r="C244" s="5"/>
      <c r="D244" s="6">
        <v>47899</v>
      </c>
      <c r="E244" s="5"/>
      <c r="F244" s="5">
        <v>30.4</v>
      </c>
      <c r="G244" s="7">
        <v>2</v>
      </c>
      <c r="H244" s="3"/>
      <c r="I244" s="3" t="s">
        <v>14</v>
      </c>
    </row>
    <row r="245" spans="1:9" ht="32.1" customHeight="1">
      <c r="A245" s="3" t="s">
        <v>473</v>
      </c>
      <c r="B245" s="4"/>
      <c r="C245" s="5"/>
      <c r="D245" s="6"/>
      <c r="E245" s="5"/>
      <c r="F245" s="5"/>
      <c r="G245" s="7"/>
      <c r="H245" s="3"/>
      <c r="I245" s="3" t="s">
        <v>83</v>
      </c>
    </row>
    <row r="246" spans="1:9" ht="32.1" customHeight="1">
      <c r="A246" s="3" t="s">
        <v>474</v>
      </c>
      <c r="B246" s="4" t="s">
        <v>475</v>
      </c>
      <c r="C246" s="5">
        <v>70.61</v>
      </c>
      <c r="D246" s="6">
        <f>ROUND(Fuentes!I246*0.45359237,0)</f>
        <v>34019</v>
      </c>
      <c r="E246" s="5"/>
      <c r="F246" s="5">
        <f>ROUND(Fuentes!J246*0.3048,2)</f>
        <v>32.49</v>
      </c>
      <c r="G246" s="7">
        <v>2</v>
      </c>
      <c r="H246" s="3"/>
      <c r="I246" s="3" t="s">
        <v>14</v>
      </c>
    </row>
    <row r="247" spans="1:9" ht="32.1" customHeight="1">
      <c r="A247" s="3" t="s">
        <v>476</v>
      </c>
      <c r="B247" s="4"/>
      <c r="C247" s="5"/>
      <c r="D247" s="6"/>
      <c r="E247" s="5"/>
      <c r="F247" s="5"/>
      <c r="G247" s="7"/>
      <c r="H247" s="3"/>
      <c r="I247" s="3" t="s">
        <v>83</v>
      </c>
    </row>
    <row r="248" spans="1:9" ht="32.1" customHeight="1">
      <c r="A248" s="3" t="s">
        <v>477</v>
      </c>
      <c r="B248" s="4" t="s">
        <v>478</v>
      </c>
      <c r="C248" s="5"/>
      <c r="D248" s="6">
        <f>ROUND(Fuentes!I248*0.45359237,0)</f>
        <v>1990</v>
      </c>
      <c r="E248" s="5"/>
      <c r="F248" s="5">
        <f>ROUND(Fuentes!J248*0.3048,2)</f>
        <v>9.5399999999999991</v>
      </c>
      <c r="G248" s="7">
        <v>2</v>
      </c>
      <c r="H248" s="3"/>
      <c r="I248" s="3" t="s">
        <v>14</v>
      </c>
    </row>
    <row r="249" spans="1:9" ht="32.1" customHeight="1">
      <c r="A249" s="3" t="s">
        <v>479</v>
      </c>
      <c r="B249" s="4" t="s">
        <v>480</v>
      </c>
      <c r="C249" s="5"/>
      <c r="D249" s="6">
        <f>ROUND(Fuentes!I249*0.45359237,0)</f>
        <v>67812</v>
      </c>
      <c r="E249" s="5"/>
      <c r="F249" s="5">
        <f>ROUND(Fuentes!J249*0.3048,2)</f>
        <v>39.75</v>
      </c>
      <c r="G249" s="7">
        <v>2</v>
      </c>
      <c r="H249" s="3"/>
      <c r="I249" s="3" t="s">
        <v>14</v>
      </c>
    </row>
  </sheetData>
  <mergeCells count="3">
    <mergeCell ref="A1:I2"/>
    <mergeCell ref="A3:I3"/>
    <mergeCell ref="A4:I4"/>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49"/>
  <sheetViews>
    <sheetView showGridLines="0" workbookViewId="0">
      <pane xSplit="2" ySplit="6" topLeftCell="C7" activePane="bottomRight" state="frozen"/>
      <selection pane="bottomRight"/>
      <selection pane="bottomLeft"/>
      <selection pane="topRight"/>
    </sheetView>
  </sheetViews>
  <sheetFormatPr defaultRowHeight="15"/>
  <cols>
    <col min="1" max="1" width="14" customWidth="1"/>
    <col min="2" max="3" width="32" customWidth="1"/>
    <col min="4" max="8" width="45" customWidth="1"/>
    <col min="9" max="10" width="19" customWidth="1"/>
    <col min="11" max="11" width="35" customWidth="1"/>
    <col min="12" max="12" width="85" customWidth="1"/>
  </cols>
  <sheetData>
    <row r="1" spans="1:12">
      <c r="A1" s="11" t="s">
        <v>481</v>
      </c>
      <c r="B1" s="11"/>
      <c r="C1" s="11"/>
      <c r="D1" s="11"/>
      <c r="E1" s="11"/>
      <c r="F1" s="11"/>
      <c r="G1" s="11"/>
      <c r="H1" s="11"/>
      <c r="I1" s="11"/>
      <c r="J1" s="11"/>
      <c r="K1" s="11"/>
      <c r="L1" s="11"/>
    </row>
    <row r="2" spans="1:12">
      <c r="A2" s="11"/>
      <c r="B2" s="11"/>
      <c r="C2" s="11"/>
      <c r="D2" s="11"/>
      <c r="E2" s="11"/>
      <c r="F2" s="11"/>
      <c r="G2" s="11"/>
      <c r="H2" s="11"/>
      <c r="I2" s="11"/>
      <c r="J2" s="11"/>
      <c r="K2" s="11"/>
      <c r="L2" s="11"/>
    </row>
    <row r="3" spans="1:12" ht="27" customHeight="1">
      <c r="A3" s="12" t="s">
        <v>482</v>
      </c>
      <c r="B3" s="12"/>
      <c r="C3" s="12"/>
      <c r="D3" s="12"/>
      <c r="E3" s="12"/>
      <c r="F3" s="12"/>
      <c r="G3" s="12"/>
      <c r="H3" s="12"/>
      <c r="I3" s="12"/>
      <c r="J3" s="12"/>
      <c r="K3" s="12"/>
      <c r="L3" s="12"/>
    </row>
    <row r="4" spans="1:12">
      <c r="A4" s="1"/>
      <c r="B4" s="1"/>
      <c r="C4" s="1"/>
      <c r="D4" s="1"/>
      <c r="E4" s="1"/>
      <c r="F4" s="1"/>
      <c r="G4" s="1"/>
      <c r="H4" s="1"/>
      <c r="I4" s="1"/>
      <c r="J4" s="1"/>
      <c r="K4" s="1"/>
      <c r="L4" s="1"/>
    </row>
    <row r="5" spans="1:12">
      <c r="A5" s="1"/>
      <c r="B5" s="1"/>
      <c r="C5" s="1"/>
      <c r="D5" s="1"/>
      <c r="E5" s="1"/>
      <c r="F5" s="1"/>
      <c r="G5" s="1"/>
      <c r="H5" s="1"/>
      <c r="I5" s="1"/>
      <c r="J5" s="1"/>
      <c r="K5" s="1"/>
      <c r="L5" s="1"/>
    </row>
    <row r="6" spans="1:12" ht="48.95" customHeight="1">
      <c r="A6" s="2" t="s">
        <v>483</v>
      </c>
      <c r="B6" s="2" t="s">
        <v>484</v>
      </c>
      <c r="C6" s="2" t="s">
        <v>485</v>
      </c>
      <c r="D6" s="2" t="s">
        <v>486</v>
      </c>
      <c r="E6" s="2" t="s">
        <v>487</v>
      </c>
      <c r="F6" s="2" t="s">
        <v>488</v>
      </c>
      <c r="G6" s="2" t="s">
        <v>489</v>
      </c>
      <c r="H6" s="2" t="s">
        <v>490</v>
      </c>
      <c r="I6" s="2" t="s">
        <v>491</v>
      </c>
      <c r="J6" s="2" t="s">
        <v>492</v>
      </c>
      <c r="K6" s="2" t="s">
        <v>493</v>
      </c>
      <c r="L6" s="2" t="s">
        <v>494</v>
      </c>
    </row>
    <row r="7" spans="1:12" ht="69.95" customHeight="1">
      <c r="A7" s="3" t="s">
        <v>12</v>
      </c>
      <c r="B7" s="4" t="s">
        <v>13</v>
      </c>
      <c r="C7" s="4" t="s">
        <v>495</v>
      </c>
      <c r="D7" s="4" t="s">
        <v>496</v>
      </c>
      <c r="E7" s="4" t="s">
        <v>497</v>
      </c>
      <c r="F7" s="4" t="s">
        <v>497</v>
      </c>
      <c r="G7" s="4" t="s">
        <v>497</v>
      </c>
      <c r="H7" s="4" t="s">
        <v>496</v>
      </c>
      <c r="I7" s="4">
        <v>171961</v>
      </c>
      <c r="J7" s="4">
        <v>123.3</v>
      </c>
      <c r="K7" s="4" t="s">
        <v>498</v>
      </c>
      <c r="L7" s="4" t="s">
        <v>499</v>
      </c>
    </row>
    <row r="8" spans="1:12" ht="69.95" customHeight="1">
      <c r="A8" s="3" t="s">
        <v>15</v>
      </c>
      <c r="B8" s="4" t="s">
        <v>500</v>
      </c>
      <c r="C8" s="4" t="s">
        <v>495</v>
      </c>
      <c r="D8" s="4" t="s">
        <v>501</v>
      </c>
      <c r="E8" s="4" t="s">
        <v>497</v>
      </c>
      <c r="F8" s="4" t="s">
        <v>497</v>
      </c>
      <c r="G8" s="4" t="s">
        <v>497</v>
      </c>
      <c r="H8" s="4" t="s">
        <v>501</v>
      </c>
      <c r="I8" s="4">
        <v>85098</v>
      </c>
      <c r="J8" s="4">
        <v>98.1</v>
      </c>
      <c r="K8" s="4" t="s">
        <v>498</v>
      </c>
      <c r="L8" s="4" t="s">
        <v>499</v>
      </c>
    </row>
    <row r="9" spans="1:12" ht="69.95" customHeight="1">
      <c r="A9" s="3" t="s">
        <v>17</v>
      </c>
      <c r="B9" s="4"/>
      <c r="C9" s="4" t="s">
        <v>502</v>
      </c>
      <c r="D9" s="4"/>
      <c r="E9" s="4" t="s">
        <v>497</v>
      </c>
      <c r="F9" s="4" t="s">
        <v>497</v>
      </c>
      <c r="G9" s="4" t="s">
        <v>497</v>
      </c>
      <c r="H9" s="4"/>
      <c r="I9" s="4">
        <v>837756</v>
      </c>
      <c r="J9" s="4">
        <v>247.2</v>
      </c>
      <c r="K9" s="4" t="s">
        <v>498</v>
      </c>
      <c r="L9" s="4" t="s">
        <v>503</v>
      </c>
    </row>
    <row r="10" spans="1:12" ht="69.95" customHeight="1">
      <c r="A10" s="3" t="s">
        <v>19</v>
      </c>
      <c r="B10" s="4" t="s">
        <v>20</v>
      </c>
      <c r="C10" s="4" t="s">
        <v>495</v>
      </c>
      <c r="D10" s="4" t="s">
        <v>504</v>
      </c>
      <c r="E10" s="4" t="s">
        <v>497</v>
      </c>
      <c r="F10" s="4" t="s">
        <v>497</v>
      </c>
      <c r="G10" s="4" t="s">
        <v>497</v>
      </c>
      <c r="H10" s="4" t="s">
        <v>504</v>
      </c>
      <c r="I10" s="4">
        <v>987000</v>
      </c>
      <c r="J10" s="4">
        <v>250.2</v>
      </c>
      <c r="K10" s="4" t="s">
        <v>498</v>
      </c>
      <c r="L10" s="4" t="s">
        <v>499</v>
      </c>
    </row>
    <row r="11" spans="1:12" ht="69.95" customHeight="1">
      <c r="A11" s="3" t="s">
        <v>21</v>
      </c>
      <c r="B11" s="4" t="s">
        <v>505</v>
      </c>
      <c r="C11" s="4" t="s">
        <v>495</v>
      </c>
      <c r="D11" s="4" t="s">
        <v>506</v>
      </c>
      <c r="E11" s="4" t="s">
        <v>497</v>
      </c>
      <c r="F11" s="4" t="s">
        <v>497</v>
      </c>
      <c r="G11" s="4" t="s">
        <v>497</v>
      </c>
      <c r="H11" s="4" t="s">
        <v>506</v>
      </c>
      <c r="I11" s="4">
        <v>110892</v>
      </c>
      <c r="J11" s="4">
        <v>118.9</v>
      </c>
      <c r="K11" s="4" t="s">
        <v>498</v>
      </c>
      <c r="L11" s="4" t="s">
        <v>499</v>
      </c>
    </row>
    <row r="12" spans="1:12" ht="69.95" customHeight="1">
      <c r="A12" s="3" t="s">
        <v>23</v>
      </c>
      <c r="B12" s="4" t="s">
        <v>24</v>
      </c>
      <c r="C12" s="4" t="s">
        <v>495</v>
      </c>
      <c r="D12" s="4" t="s">
        <v>507</v>
      </c>
      <c r="E12" s="4" t="s">
        <v>497</v>
      </c>
      <c r="F12" s="4" t="s">
        <v>497</v>
      </c>
      <c r="G12" s="4" t="s">
        <v>497</v>
      </c>
      <c r="H12" s="4" t="s">
        <v>507</v>
      </c>
      <c r="I12" s="4">
        <v>168653</v>
      </c>
      <c r="J12" s="4">
        <v>111</v>
      </c>
      <c r="K12" s="4" t="s">
        <v>498</v>
      </c>
      <c r="L12" s="4" t="s">
        <v>499</v>
      </c>
    </row>
    <row r="13" spans="1:12" ht="69.95" customHeight="1">
      <c r="A13" s="3" t="s">
        <v>25</v>
      </c>
      <c r="B13" s="4"/>
      <c r="C13" s="4" t="s">
        <v>502</v>
      </c>
      <c r="D13" s="4"/>
      <c r="E13" s="4" t="s">
        <v>497</v>
      </c>
      <c r="F13" s="4" t="s">
        <v>497</v>
      </c>
      <c r="G13" s="4" t="s">
        <v>497</v>
      </c>
      <c r="H13" s="4"/>
      <c r="I13" s="4">
        <v>553400</v>
      </c>
      <c r="J13" s="4">
        <v>208.9</v>
      </c>
      <c r="K13" s="4" t="s">
        <v>498</v>
      </c>
      <c r="L13" s="4" t="s">
        <v>499</v>
      </c>
    </row>
    <row r="14" spans="1:12" ht="69.95" customHeight="1">
      <c r="A14" s="3" t="s">
        <v>27</v>
      </c>
      <c r="B14" s="4"/>
      <c r="C14" s="4" t="s">
        <v>502</v>
      </c>
      <c r="D14" s="4"/>
      <c r="E14" s="4" t="s">
        <v>508</v>
      </c>
      <c r="F14" s="4" t="s">
        <v>508</v>
      </c>
      <c r="G14" s="4" t="s">
        <v>508</v>
      </c>
      <c r="H14" s="4"/>
      <c r="I14" s="4"/>
      <c r="J14" s="4"/>
      <c r="K14" s="4" t="s">
        <v>509</v>
      </c>
      <c r="L14" s="4" t="s">
        <v>510</v>
      </c>
    </row>
    <row r="15" spans="1:12" ht="69.95" customHeight="1">
      <c r="A15" s="3" t="s">
        <v>29</v>
      </c>
      <c r="B15" s="4" t="s">
        <v>511</v>
      </c>
      <c r="C15" s="4" t="s">
        <v>495</v>
      </c>
      <c r="D15" s="4" t="s">
        <v>512</v>
      </c>
      <c r="E15" s="4" t="s">
        <v>497</v>
      </c>
      <c r="F15" s="4" t="s">
        <v>497</v>
      </c>
      <c r="G15" s="4" t="s">
        <v>497</v>
      </c>
      <c r="H15" s="4" t="s">
        <v>512</v>
      </c>
      <c r="I15" s="4">
        <v>174165</v>
      </c>
      <c r="J15" s="4">
        <v>123.3</v>
      </c>
      <c r="K15" s="4" t="s">
        <v>498</v>
      </c>
      <c r="L15" s="4" t="s">
        <v>499</v>
      </c>
    </row>
    <row r="16" spans="1:12" ht="69.95" customHeight="1">
      <c r="A16" s="3" t="s">
        <v>31</v>
      </c>
      <c r="B16" s="4" t="s">
        <v>513</v>
      </c>
      <c r="C16" s="4" t="s">
        <v>495</v>
      </c>
      <c r="D16" s="4" t="s">
        <v>514</v>
      </c>
      <c r="E16" s="4" t="s">
        <v>497</v>
      </c>
      <c r="F16" s="4" t="s">
        <v>497</v>
      </c>
      <c r="G16" s="4" t="s">
        <v>497</v>
      </c>
      <c r="H16" s="4" t="s">
        <v>514</v>
      </c>
      <c r="I16" s="4">
        <v>80500</v>
      </c>
      <c r="J16" s="4">
        <v>118.8</v>
      </c>
      <c r="K16" s="4" t="s">
        <v>498</v>
      </c>
      <c r="L16" s="4" t="s">
        <v>515</v>
      </c>
    </row>
    <row r="17" spans="1:12" ht="69.95" customHeight="1">
      <c r="A17" s="3" t="s">
        <v>33</v>
      </c>
      <c r="B17" s="4" t="s">
        <v>34</v>
      </c>
      <c r="C17" s="4" t="s">
        <v>495</v>
      </c>
      <c r="D17" s="4" t="s">
        <v>516</v>
      </c>
      <c r="E17" s="4" t="s">
        <v>497</v>
      </c>
      <c r="F17" s="4" t="s">
        <v>497</v>
      </c>
      <c r="G17" s="4" t="s">
        <v>497</v>
      </c>
      <c r="H17" s="4" t="s">
        <v>516</v>
      </c>
      <c r="I17" s="4">
        <v>533519</v>
      </c>
      <c r="J17" s="4">
        <v>193.6</v>
      </c>
      <c r="K17" s="4" t="s">
        <v>498</v>
      </c>
      <c r="L17" s="4" t="s">
        <v>499</v>
      </c>
    </row>
    <row r="18" spans="1:12" ht="69.95" customHeight="1">
      <c r="A18" s="3" t="s">
        <v>35</v>
      </c>
      <c r="B18" s="4" t="s">
        <v>517</v>
      </c>
      <c r="C18" s="4" t="s">
        <v>495</v>
      </c>
      <c r="D18" s="4" t="s">
        <v>518</v>
      </c>
      <c r="E18" s="4" t="s">
        <v>497</v>
      </c>
      <c r="F18" s="4" t="s">
        <v>497</v>
      </c>
      <c r="G18" s="4" t="s">
        <v>497</v>
      </c>
      <c r="H18" s="4" t="s">
        <v>518</v>
      </c>
      <c r="I18" s="4">
        <v>85517</v>
      </c>
      <c r="J18" s="4">
        <v>106</v>
      </c>
      <c r="K18" s="4" t="s">
        <v>498</v>
      </c>
      <c r="L18" s="4" t="s">
        <v>499</v>
      </c>
    </row>
    <row r="19" spans="1:12" ht="69.95" customHeight="1">
      <c r="A19" s="3" t="s">
        <v>37</v>
      </c>
      <c r="B19" s="4"/>
      <c r="C19" s="4" t="s">
        <v>502</v>
      </c>
      <c r="D19" s="4"/>
      <c r="E19" s="4" t="s">
        <v>497</v>
      </c>
      <c r="F19" s="4" t="s">
        <v>497</v>
      </c>
      <c r="G19" s="4" t="s">
        <v>497</v>
      </c>
      <c r="H19" s="4"/>
      <c r="I19" s="4">
        <v>766106</v>
      </c>
      <c r="J19" s="4">
        <v>209.1</v>
      </c>
      <c r="K19" s="4" t="s">
        <v>498</v>
      </c>
      <c r="L19" s="4" t="s">
        <v>499</v>
      </c>
    </row>
    <row r="20" spans="1:12" ht="69.95" customHeight="1">
      <c r="A20" s="3" t="s">
        <v>39</v>
      </c>
      <c r="B20" s="4" t="s">
        <v>40</v>
      </c>
      <c r="C20" s="4" t="s">
        <v>495</v>
      </c>
      <c r="D20" s="4" t="s">
        <v>519</v>
      </c>
      <c r="E20" s="4" t="s">
        <v>497</v>
      </c>
      <c r="F20" s="4" t="s">
        <v>497</v>
      </c>
      <c r="G20" s="4" t="s">
        <v>497</v>
      </c>
      <c r="H20" s="4" t="s">
        <v>519</v>
      </c>
      <c r="I20" s="4">
        <v>533519</v>
      </c>
      <c r="J20" s="4">
        <v>209</v>
      </c>
      <c r="K20" s="4" t="s">
        <v>498</v>
      </c>
      <c r="L20" s="4" t="s">
        <v>499</v>
      </c>
    </row>
    <row r="21" spans="1:12" ht="69.95" customHeight="1">
      <c r="A21" s="3" t="s">
        <v>41</v>
      </c>
      <c r="B21" s="4" t="s">
        <v>520</v>
      </c>
      <c r="C21" s="4" t="s">
        <v>495</v>
      </c>
      <c r="D21" s="4" t="s">
        <v>521</v>
      </c>
      <c r="E21" s="4" t="s">
        <v>497</v>
      </c>
      <c r="F21" s="4" t="s">
        <v>497</v>
      </c>
      <c r="G21" s="4" t="s">
        <v>497</v>
      </c>
      <c r="H21" s="4" t="s">
        <v>521</v>
      </c>
      <c r="I21" s="4">
        <v>209439</v>
      </c>
      <c r="J21" s="4">
        <v>146</v>
      </c>
      <c r="K21" s="4" t="s">
        <v>498</v>
      </c>
      <c r="L21" s="4" t="s">
        <v>499</v>
      </c>
    </row>
    <row r="22" spans="1:12" ht="69.95" customHeight="1">
      <c r="A22" s="3" t="s">
        <v>43</v>
      </c>
      <c r="B22" s="4" t="s">
        <v>44</v>
      </c>
      <c r="C22" s="4" t="s">
        <v>495</v>
      </c>
      <c r="D22" s="4" t="s">
        <v>522</v>
      </c>
      <c r="E22" s="4" t="s">
        <v>497</v>
      </c>
      <c r="F22" s="4" t="s">
        <v>497</v>
      </c>
      <c r="G22" s="4" t="s">
        <v>497</v>
      </c>
      <c r="H22" s="4" t="s">
        <v>522</v>
      </c>
      <c r="I22" s="4">
        <v>200621</v>
      </c>
      <c r="J22" s="4">
        <v>146</v>
      </c>
      <c r="K22" s="4" t="s">
        <v>498</v>
      </c>
      <c r="L22" s="4" t="s">
        <v>523</v>
      </c>
    </row>
    <row r="23" spans="1:12" ht="69.95" customHeight="1">
      <c r="A23" s="3" t="s">
        <v>45</v>
      </c>
      <c r="B23" s="4" t="s">
        <v>46</v>
      </c>
      <c r="C23" s="4" t="s">
        <v>495</v>
      </c>
      <c r="D23" s="4" t="s">
        <v>524</v>
      </c>
      <c r="E23" s="4" t="s">
        <v>497</v>
      </c>
      <c r="F23" s="4" t="s">
        <v>497</v>
      </c>
      <c r="G23" s="4" t="s">
        <v>497</v>
      </c>
      <c r="H23" s="4" t="s">
        <v>524</v>
      </c>
      <c r="I23" s="4">
        <v>775000</v>
      </c>
      <c r="J23" s="4">
        <v>242.3</v>
      </c>
      <c r="K23" s="4" t="s">
        <v>498</v>
      </c>
      <c r="L23" s="4" t="s">
        <v>499</v>
      </c>
    </row>
    <row r="24" spans="1:12" ht="69.95" customHeight="1">
      <c r="A24" s="3" t="s">
        <v>47</v>
      </c>
      <c r="B24" s="4"/>
      <c r="C24" s="4" t="s">
        <v>502</v>
      </c>
      <c r="D24" s="4"/>
      <c r="E24" s="4" t="s">
        <v>497</v>
      </c>
      <c r="F24" s="4" t="s">
        <v>497</v>
      </c>
      <c r="G24" s="4" t="s">
        <v>497</v>
      </c>
      <c r="H24" s="4"/>
      <c r="I24" s="4">
        <v>156307</v>
      </c>
      <c r="J24" s="4">
        <v>127</v>
      </c>
      <c r="K24" s="4" t="s">
        <v>498</v>
      </c>
      <c r="L24" s="4" t="s">
        <v>503</v>
      </c>
    </row>
    <row r="25" spans="1:12" ht="69.95" customHeight="1">
      <c r="A25" s="3" t="s">
        <v>49</v>
      </c>
      <c r="B25" s="4" t="s">
        <v>50</v>
      </c>
      <c r="C25" s="4" t="s">
        <v>495</v>
      </c>
      <c r="D25" s="4" t="s">
        <v>525</v>
      </c>
      <c r="E25" s="4" t="s">
        <v>497</v>
      </c>
      <c r="F25" s="4" t="s">
        <v>497</v>
      </c>
      <c r="G25" s="4" t="s">
        <v>497</v>
      </c>
      <c r="H25" s="4" t="s">
        <v>525</v>
      </c>
      <c r="I25" s="4">
        <v>174200</v>
      </c>
      <c r="J25" s="4">
        <v>129.5</v>
      </c>
      <c r="K25" s="4" t="s">
        <v>498</v>
      </c>
      <c r="L25" s="4" t="s">
        <v>526</v>
      </c>
    </row>
    <row r="26" spans="1:12" ht="69.95" customHeight="1">
      <c r="A26" s="3" t="s">
        <v>51</v>
      </c>
      <c r="B26" s="4" t="s">
        <v>527</v>
      </c>
      <c r="C26" s="4" t="s">
        <v>495</v>
      </c>
      <c r="D26" s="4" t="s">
        <v>528</v>
      </c>
      <c r="E26" s="4" t="s">
        <v>497</v>
      </c>
      <c r="F26" s="4" t="s">
        <v>497</v>
      </c>
      <c r="G26" s="4" t="s">
        <v>497</v>
      </c>
      <c r="H26" s="4" t="s">
        <v>528</v>
      </c>
      <c r="I26" s="4">
        <v>115280</v>
      </c>
      <c r="J26" s="4">
        <v>126.8</v>
      </c>
      <c r="K26" s="4" t="s">
        <v>498</v>
      </c>
      <c r="L26" s="4" t="s">
        <v>499</v>
      </c>
    </row>
    <row r="27" spans="1:12" ht="69.95" customHeight="1">
      <c r="A27" s="3" t="s">
        <v>53</v>
      </c>
      <c r="B27" s="4" t="s">
        <v>529</v>
      </c>
      <c r="C27" s="4" t="s">
        <v>495</v>
      </c>
      <c r="D27" s="4" t="s">
        <v>530</v>
      </c>
      <c r="E27" s="4" t="s">
        <v>497</v>
      </c>
      <c r="F27" s="4" t="s">
        <v>497</v>
      </c>
      <c r="G27" s="4" t="s">
        <v>497</v>
      </c>
      <c r="H27" s="4" t="s">
        <v>530</v>
      </c>
      <c r="I27" s="4">
        <v>560000</v>
      </c>
      <c r="J27" s="4">
        <v>206.1</v>
      </c>
      <c r="K27" s="4" t="s">
        <v>498</v>
      </c>
      <c r="L27" s="4" t="s">
        <v>531</v>
      </c>
    </row>
    <row r="28" spans="1:12" ht="69.95" customHeight="1">
      <c r="A28" s="3" t="s">
        <v>55</v>
      </c>
      <c r="B28" s="4" t="s">
        <v>56</v>
      </c>
      <c r="C28" s="4" t="s">
        <v>495</v>
      </c>
      <c r="D28" s="4" t="s">
        <v>532</v>
      </c>
      <c r="E28" s="4" t="s">
        <v>497</v>
      </c>
      <c r="F28" s="4" t="s">
        <v>497</v>
      </c>
      <c r="G28" s="4" t="s">
        <v>497</v>
      </c>
      <c r="H28" s="4" t="s">
        <v>532</v>
      </c>
      <c r="I28" s="4">
        <v>609578</v>
      </c>
      <c r="J28" s="4">
        <v>209</v>
      </c>
      <c r="K28" s="4" t="s">
        <v>498</v>
      </c>
      <c r="L28" s="4" t="s">
        <v>503</v>
      </c>
    </row>
    <row r="29" spans="1:12" ht="69.95" customHeight="1">
      <c r="A29" s="3" t="s">
        <v>57</v>
      </c>
      <c r="B29" s="4"/>
      <c r="C29" s="4" t="s">
        <v>502</v>
      </c>
      <c r="D29" s="4"/>
      <c r="E29" s="4" t="s">
        <v>497</v>
      </c>
      <c r="F29" s="4" t="s">
        <v>497</v>
      </c>
      <c r="G29" s="4" t="s">
        <v>497</v>
      </c>
      <c r="H29" s="4"/>
      <c r="I29" s="4">
        <v>363760</v>
      </c>
      <c r="J29" s="4">
        <v>177.4</v>
      </c>
      <c r="K29" s="4" t="s">
        <v>498</v>
      </c>
      <c r="L29" s="4" t="s">
        <v>499</v>
      </c>
    </row>
    <row r="30" spans="1:12" ht="69.95" customHeight="1">
      <c r="A30" s="3" t="s">
        <v>59</v>
      </c>
      <c r="B30" s="4" t="s">
        <v>60</v>
      </c>
      <c r="C30" s="4" t="s">
        <v>495</v>
      </c>
      <c r="D30" s="4" t="s">
        <v>533</v>
      </c>
      <c r="E30" s="4" t="s">
        <v>497</v>
      </c>
      <c r="F30" s="4" t="s">
        <v>497</v>
      </c>
      <c r="G30" s="4" t="s">
        <v>497</v>
      </c>
      <c r="H30" s="4" t="s">
        <v>533</v>
      </c>
      <c r="I30" s="4">
        <v>255500</v>
      </c>
      <c r="J30" s="4">
        <v>155.30000000000001</v>
      </c>
      <c r="K30" s="4" t="s">
        <v>498</v>
      </c>
      <c r="L30" s="4" t="s">
        <v>503</v>
      </c>
    </row>
    <row r="31" spans="1:12" ht="69.95" customHeight="1">
      <c r="A31" s="3" t="s">
        <v>61</v>
      </c>
      <c r="B31" s="4" t="s">
        <v>534</v>
      </c>
      <c r="C31" s="4" t="s">
        <v>495</v>
      </c>
      <c r="D31" s="4" t="s">
        <v>535</v>
      </c>
      <c r="E31" s="4" t="s">
        <v>497</v>
      </c>
      <c r="F31" s="4" t="s">
        <v>497</v>
      </c>
      <c r="G31" s="4" t="s">
        <v>497</v>
      </c>
      <c r="H31" s="4" t="s">
        <v>535</v>
      </c>
      <c r="I31" s="4">
        <v>617295</v>
      </c>
      <c r="J31" s="4">
        <v>218.54</v>
      </c>
      <c r="K31" s="4" t="s">
        <v>498</v>
      </c>
      <c r="L31" s="4" t="s">
        <v>499</v>
      </c>
    </row>
    <row r="32" spans="1:12" ht="69.95" customHeight="1">
      <c r="A32" s="3" t="s">
        <v>63</v>
      </c>
      <c r="B32" s="4" t="s">
        <v>64</v>
      </c>
      <c r="C32" s="4" t="s">
        <v>495</v>
      </c>
      <c r="D32" s="4" t="s">
        <v>536</v>
      </c>
      <c r="E32" s="4" t="s">
        <v>497</v>
      </c>
      <c r="F32" s="4" t="s">
        <v>497</v>
      </c>
      <c r="G32" s="4" t="s">
        <v>497</v>
      </c>
      <c r="H32" s="4" t="s">
        <v>536</v>
      </c>
      <c r="I32" s="4">
        <v>412000</v>
      </c>
      <c r="J32" s="4">
        <v>180.3</v>
      </c>
      <c r="K32" s="4" t="s">
        <v>498</v>
      </c>
      <c r="L32" s="4" t="s">
        <v>503</v>
      </c>
    </row>
    <row r="33" spans="1:12" ht="69.95" customHeight="1">
      <c r="A33" s="3" t="s">
        <v>65</v>
      </c>
      <c r="B33" s="4"/>
      <c r="C33" s="4" t="s">
        <v>502</v>
      </c>
      <c r="D33" s="4"/>
      <c r="E33" s="4" t="s">
        <v>497</v>
      </c>
      <c r="F33" s="4" t="s">
        <v>497</v>
      </c>
      <c r="G33" s="4" t="s">
        <v>497</v>
      </c>
      <c r="H33" s="4"/>
      <c r="I33" s="4">
        <v>17968</v>
      </c>
      <c r="J33" s="4">
        <v>51.3</v>
      </c>
      <c r="K33" s="4" t="s">
        <v>498</v>
      </c>
      <c r="L33" s="4" t="s">
        <v>499</v>
      </c>
    </row>
    <row r="34" spans="1:12" ht="69.95" customHeight="1">
      <c r="A34" s="3" t="s">
        <v>67</v>
      </c>
      <c r="B34" s="4"/>
      <c r="C34" s="4" t="s">
        <v>502</v>
      </c>
      <c r="D34" s="4"/>
      <c r="E34" s="4" t="s">
        <v>497</v>
      </c>
      <c r="F34" s="4" t="s">
        <v>497</v>
      </c>
      <c r="G34" s="4" t="s">
        <v>497</v>
      </c>
      <c r="H34" s="4"/>
      <c r="I34" s="4">
        <v>40600</v>
      </c>
      <c r="J34" s="4">
        <v>68.599999999999994</v>
      </c>
      <c r="K34" s="4" t="s">
        <v>498</v>
      </c>
      <c r="L34" s="4" t="s">
        <v>499</v>
      </c>
    </row>
    <row r="35" spans="1:12" ht="69.95" customHeight="1">
      <c r="A35" s="3" t="s">
        <v>69</v>
      </c>
      <c r="B35" s="4" t="s">
        <v>537</v>
      </c>
      <c r="C35" s="4" t="s">
        <v>538</v>
      </c>
      <c r="D35" s="4" t="s">
        <v>539</v>
      </c>
      <c r="E35" s="4" t="s">
        <v>497</v>
      </c>
      <c r="F35" s="4" t="s">
        <v>497</v>
      </c>
      <c r="G35" s="4" t="s">
        <v>497</v>
      </c>
      <c r="H35" s="4"/>
      <c r="I35" s="4">
        <v>13870</v>
      </c>
      <c r="J35" s="4">
        <v>51.2</v>
      </c>
      <c r="K35" s="4" t="s">
        <v>498</v>
      </c>
      <c r="L35" s="4" t="s">
        <v>499</v>
      </c>
    </row>
    <row r="36" spans="1:12" ht="69.95" customHeight="1">
      <c r="A36" s="3" t="s">
        <v>71</v>
      </c>
      <c r="B36" s="4"/>
      <c r="C36" s="4" t="s">
        <v>502</v>
      </c>
      <c r="D36" s="4"/>
      <c r="E36" s="4" t="s">
        <v>497</v>
      </c>
      <c r="F36" s="4" t="s">
        <v>497</v>
      </c>
      <c r="G36" s="4" t="s">
        <v>497</v>
      </c>
      <c r="H36" s="4"/>
      <c r="I36" s="4">
        <v>560000</v>
      </c>
      <c r="J36" s="4">
        <v>224.1</v>
      </c>
      <c r="K36" s="4" t="s">
        <v>498</v>
      </c>
      <c r="L36" s="4" t="s">
        <v>540</v>
      </c>
    </row>
    <row r="37" spans="1:12" ht="69.95" customHeight="1">
      <c r="A37" s="3" t="s">
        <v>73</v>
      </c>
      <c r="B37" s="4" t="s">
        <v>74</v>
      </c>
      <c r="C37" s="4" t="s">
        <v>495</v>
      </c>
      <c r="D37" s="4" t="s">
        <v>541</v>
      </c>
      <c r="E37" s="4" t="s">
        <v>497</v>
      </c>
      <c r="F37" s="4" t="s">
        <v>497</v>
      </c>
      <c r="G37" s="4" t="s">
        <v>497</v>
      </c>
      <c r="H37" s="4" t="s">
        <v>541</v>
      </c>
      <c r="I37" s="4">
        <v>910000</v>
      </c>
      <c r="J37" s="4">
        <v>231.9</v>
      </c>
      <c r="K37" s="4" t="s">
        <v>498</v>
      </c>
      <c r="L37" s="4" t="s">
        <v>499</v>
      </c>
    </row>
    <row r="38" spans="1:12" ht="69.95" customHeight="1">
      <c r="A38" s="3" t="s">
        <v>75</v>
      </c>
      <c r="B38" s="4" t="s">
        <v>76</v>
      </c>
      <c r="C38" s="4" t="s">
        <v>495</v>
      </c>
      <c r="D38" s="4" t="s">
        <v>542</v>
      </c>
      <c r="E38" s="4" t="s">
        <v>497</v>
      </c>
      <c r="F38" s="4" t="s">
        <v>497</v>
      </c>
      <c r="G38" s="4" t="s">
        <v>497</v>
      </c>
      <c r="H38" s="4" t="s">
        <v>542</v>
      </c>
      <c r="I38" s="4">
        <v>181200</v>
      </c>
      <c r="J38" s="4">
        <v>129.69999999999999</v>
      </c>
      <c r="K38" s="4" t="s">
        <v>498</v>
      </c>
      <c r="L38" s="4" t="s">
        <v>526</v>
      </c>
    </row>
    <row r="39" spans="1:12" ht="69.95" customHeight="1">
      <c r="A39" s="3" t="s">
        <v>77</v>
      </c>
      <c r="B39" s="4" t="s">
        <v>78</v>
      </c>
      <c r="C39" s="4" t="s">
        <v>543</v>
      </c>
      <c r="D39" s="4" t="s">
        <v>544</v>
      </c>
      <c r="E39" s="4" t="s">
        <v>544</v>
      </c>
      <c r="F39" s="4" t="s">
        <v>544</v>
      </c>
      <c r="G39" s="4" t="s">
        <v>497</v>
      </c>
      <c r="H39" s="4"/>
      <c r="I39" s="4"/>
      <c r="J39" s="4"/>
      <c r="K39" s="4" t="s">
        <v>545</v>
      </c>
      <c r="L39" s="4" t="s">
        <v>546</v>
      </c>
    </row>
    <row r="40" spans="1:12" ht="69.95" customHeight="1">
      <c r="A40" s="3" t="s">
        <v>79</v>
      </c>
      <c r="B40" s="4" t="s">
        <v>547</v>
      </c>
      <c r="C40" s="4" t="s">
        <v>495</v>
      </c>
      <c r="D40" s="4" t="s">
        <v>548</v>
      </c>
      <c r="E40" s="4" t="s">
        <v>497</v>
      </c>
      <c r="F40" s="4" t="s">
        <v>497</v>
      </c>
      <c r="G40" s="4" t="s">
        <v>497</v>
      </c>
      <c r="H40" s="4" t="s">
        <v>548</v>
      </c>
      <c r="I40" s="4">
        <v>502500</v>
      </c>
      <c r="J40" s="4">
        <v>186.1</v>
      </c>
      <c r="K40" s="4" t="s">
        <v>498</v>
      </c>
      <c r="L40" s="4" t="s">
        <v>531</v>
      </c>
    </row>
    <row r="41" spans="1:12" ht="69.95" customHeight="1">
      <c r="A41" s="3" t="s">
        <v>81</v>
      </c>
      <c r="B41" s="4" t="s">
        <v>549</v>
      </c>
      <c r="C41" s="4" t="s">
        <v>495</v>
      </c>
      <c r="D41" s="4" t="s">
        <v>550</v>
      </c>
      <c r="E41" s="4" t="s">
        <v>497</v>
      </c>
      <c r="F41" s="4" t="s">
        <v>497</v>
      </c>
      <c r="G41" s="4" t="s">
        <v>497</v>
      </c>
      <c r="H41" s="4" t="s">
        <v>550</v>
      </c>
      <c r="I41" s="4">
        <v>656000</v>
      </c>
      <c r="J41" s="4">
        <v>209.1</v>
      </c>
      <c r="K41" s="4" t="s">
        <v>498</v>
      </c>
      <c r="L41" s="4" t="s">
        <v>499</v>
      </c>
    </row>
    <row r="42" spans="1:12" ht="69.95" customHeight="1">
      <c r="A42" s="3"/>
      <c r="B42" s="4"/>
      <c r="C42" s="4" t="s">
        <v>502</v>
      </c>
      <c r="D42" s="4"/>
      <c r="E42" s="4"/>
      <c r="F42" s="4"/>
      <c r="G42" s="4"/>
      <c r="H42" s="4"/>
      <c r="I42" s="4"/>
      <c r="J42" s="4"/>
      <c r="K42" s="4" t="s">
        <v>502</v>
      </c>
      <c r="L42" s="4" t="s">
        <v>551</v>
      </c>
    </row>
    <row r="43" spans="1:12" ht="69.95" customHeight="1">
      <c r="A43" s="3" t="s">
        <v>84</v>
      </c>
      <c r="B43" s="4" t="s">
        <v>85</v>
      </c>
      <c r="C43" s="4" t="s">
        <v>543</v>
      </c>
      <c r="D43" s="4" t="s">
        <v>552</v>
      </c>
      <c r="E43" s="4" t="s">
        <v>552</v>
      </c>
      <c r="F43" s="4" t="s">
        <v>552</v>
      </c>
      <c r="G43" s="4" t="s">
        <v>497</v>
      </c>
      <c r="H43" s="4"/>
      <c r="I43" s="4"/>
      <c r="J43" s="4"/>
      <c r="K43" s="4" t="s">
        <v>545</v>
      </c>
      <c r="L43" s="4" t="s">
        <v>553</v>
      </c>
    </row>
    <row r="44" spans="1:12" ht="69.95" customHeight="1">
      <c r="A44" s="3" t="s">
        <v>86</v>
      </c>
      <c r="B44" s="4" t="s">
        <v>87</v>
      </c>
      <c r="C44" s="4" t="s">
        <v>495</v>
      </c>
      <c r="D44" s="4" t="s">
        <v>554</v>
      </c>
      <c r="E44" s="4" t="s">
        <v>497</v>
      </c>
      <c r="F44" s="4" t="s">
        <v>497</v>
      </c>
      <c r="G44" s="4" t="s">
        <v>497</v>
      </c>
      <c r="H44" s="4" t="s">
        <v>554</v>
      </c>
      <c r="I44" s="4">
        <v>1267658</v>
      </c>
      <c r="J44" s="4">
        <v>238.6</v>
      </c>
      <c r="K44" s="4" t="s">
        <v>498</v>
      </c>
      <c r="L44" s="4" t="s">
        <v>499</v>
      </c>
    </row>
    <row r="45" spans="1:12" ht="69.95" customHeight="1">
      <c r="A45" s="3" t="s">
        <v>88</v>
      </c>
      <c r="B45" s="4"/>
      <c r="C45" s="4" t="s">
        <v>502</v>
      </c>
      <c r="D45" s="4"/>
      <c r="E45" s="4" t="s">
        <v>497</v>
      </c>
      <c r="F45" s="4" t="s">
        <v>497</v>
      </c>
      <c r="G45" s="4" t="s">
        <v>497</v>
      </c>
      <c r="H45" s="4"/>
      <c r="I45" s="4">
        <v>8645</v>
      </c>
      <c r="J45" s="4">
        <v>40.6</v>
      </c>
      <c r="K45" s="4" t="s">
        <v>498</v>
      </c>
      <c r="L45" s="4" t="s">
        <v>499</v>
      </c>
    </row>
    <row r="46" spans="1:12" ht="69.95" customHeight="1">
      <c r="A46" s="3" t="s">
        <v>90</v>
      </c>
      <c r="B46" s="4"/>
      <c r="C46" s="4" t="s">
        <v>502</v>
      </c>
      <c r="D46" s="4"/>
      <c r="E46" s="4" t="s">
        <v>497</v>
      </c>
      <c r="F46" s="4" t="s">
        <v>497</v>
      </c>
      <c r="G46" s="4" t="s">
        <v>497</v>
      </c>
      <c r="H46" s="4"/>
      <c r="I46" s="4">
        <v>270000</v>
      </c>
      <c r="J46" s="4">
        <v>178.6</v>
      </c>
      <c r="K46" s="4" t="s">
        <v>498</v>
      </c>
      <c r="L46" s="4" t="s">
        <v>503</v>
      </c>
    </row>
    <row r="47" spans="1:12" ht="69.95" customHeight="1">
      <c r="A47" s="3" t="s">
        <v>92</v>
      </c>
      <c r="B47" s="4"/>
      <c r="C47" s="4" t="s">
        <v>502</v>
      </c>
      <c r="D47" s="4"/>
      <c r="E47" s="4" t="s">
        <v>497</v>
      </c>
      <c r="F47" s="4" t="s">
        <v>497</v>
      </c>
      <c r="G47" s="4" t="s">
        <v>497</v>
      </c>
      <c r="H47" s="4"/>
      <c r="I47" s="4">
        <v>23000</v>
      </c>
      <c r="J47" s="4">
        <v>55.5</v>
      </c>
      <c r="K47" s="4" t="s">
        <v>498</v>
      </c>
      <c r="L47" s="4" t="s">
        <v>503</v>
      </c>
    </row>
    <row r="48" spans="1:12" ht="69.95" customHeight="1">
      <c r="A48" s="3" t="s">
        <v>94</v>
      </c>
      <c r="B48" s="4" t="s">
        <v>95</v>
      </c>
      <c r="C48" s="4" t="s">
        <v>495</v>
      </c>
      <c r="D48" s="4" t="s">
        <v>555</v>
      </c>
      <c r="E48" s="4" t="s">
        <v>497</v>
      </c>
      <c r="F48" s="4" t="s">
        <v>497</v>
      </c>
      <c r="G48" s="4" t="s">
        <v>497</v>
      </c>
      <c r="H48" s="4" t="s">
        <v>555</v>
      </c>
      <c r="I48" s="4">
        <v>187700</v>
      </c>
      <c r="J48" s="4">
        <v>138.19999999999999</v>
      </c>
      <c r="K48" s="4" t="s">
        <v>498</v>
      </c>
      <c r="L48" s="4" t="s">
        <v>526</v>
      </c>
    </row>
    <row r="49" spans="1:12" ht="69.95" customHeight="1">
      <c r="A49" s="3" t="s">
        <v>96</v>
      </c>
      <c r="B49" s="4"/>
      <c r="C49" s="4" t="s">
        <v>502</v>
      </c>
      <c r="D49" s="4"/>
      <c r="E49" s="4" t="s">
        <v>497</v>
      </c>
      <c r="F49" s="4" t="s">
        <v>497</v>
      </c>
      <c r="G49" s="4" t="s">
        <v>497</v>
      </c>
      <c r="H49" s="4"/>
      <c r="I49" s="4">
        <v>94600</v>
      </c>
      <c r="J49" s="4">
        <v>96.1</v>
      </c>
      <c r="K49" s="4" t="s">
        <v>498</v>
      </c>
      <c r="L49" s="4" t="s">
        <v>556</v>
      </c>
    </row>
    <row r="50" spans="1:12" ht="69.95" customHeight="1">
      <c r="A50" s="3" t="s">
        <v>98</v>
      </c>
      <c r="B50" s="4" t="s">
        <v>557</v>
      </c>
      <c r="C50" s="4" t="s">
        <v>538</v>
      </c>
      <c r="D50" s="4" t="s">
        <v>558</v>
      </c>
      <c r="E50" s="4" t="s">
        <v>497</v>
      </c>
      <c r="F50" s="4" t="s">
        <v>497</v>
      </c>
      <c r="G50" s="4" t="s">
        <v>497</v>
      </c>
      <c r="H50" s="4"/>
      <c r="I50" s="4">
        <v>17110</v>
      </c>
      <c r="J50" s="4">
        <v>53.3</v>
      </c>
      <c r="K50" s="4" t="s">
        <v>498</v>
      </c>
      <c r="L50" s="4" t="s">
        <v>499</v>
      </c>
    </row>
    <row r="51" spans="1:12" ht="69.95" customHeight="1">
      <c r="A51" s="3" t="s">
        <v>100</v>
      </c>
      <c r="B51" s="4"/>
      <c r="C51" s="4" t="s">
        <v>502</v>
      </c>
      <c r="D51" s="4"/>
      <c r="E51" s="4" t="s">
        <v>497</v>
      </c>
      <c r="F51" s="4" t="s">
        <v>497</v>
      </c>
      <c r="G51" s="4" t="s">
        <v>497</v>
      </c>
      <c r="H51" s="4"/>
      <c r="I51" s="4">
        <v>82673</v>
      </c>
      <c r="J51" s="4">
        <v>103.9</v>
      </c>
      <c r="K51" s="4" t="s">
        <v>498</v>
      </c>
      <c r="L51" s="4" t="s">
        <v>499</v>
      </c>
    </row>
    <row r="52" spans="1:12" ht="69.95" customHeight="1">
      <c r="A52" s="3" t="s">
        <v>102</v>
      </c>
      <c r="B52" s="4" t="s">
        <v>559</v>
      </c>
      <c r="C52" s="4" t="s">
        <v>560</v>
      </c>
      <c r="D52" s="4" t="s">
        <v>561</v>
      </c>
      <c r="E52" s="4" t="s">
        <v>497</v>
      </c>
      <c r="F52" s="4" t="s">
        <v>497</v>
      </c>
      <c r="G52" s="4" t="s">
        <v>497</v>
      </c>
      <c r="H52" s="4"/>
      <c r="I52" s="4">
        <v>28000</v>
      </c>
      <c r="J52" s="4">
        <v>64.7</v>
      </c>
      <c r="K52" s="4" t="s">
        <v>498</v>
      </c>
      <c r="L52" s="4" t="s">
        <v>499</v>
      </c>
    </row>
    <row r="53" spans="1:12" ht="69.95" customHeight="1">
      <c r="A53" s="3" t="s">
        <v>104</v>
      </c>
      <c r="B53" s="4"/>
      <c r="C53" s="4" t="s">
        <v>502</v>
      </c>
      <c r="D53" s="4"/>
      <c r="E53" s="4" t="s">
        <v>497</v>
      </c>
      <c r="F53" s="4" t="s">
        <v>497</v>
      </c>
      <c r="G53" s="4" t="s">
        <v>497</v>
      </c>
      <c r="H53" s="4"/>
      <c r="I53" s="4">
        <v>139100</v>
      </c>
      <c r="J53" s="4">
        <v>114.8</v>
      </c>
      <c r="K53" s="4" t="s">
        <v>498</v>
      </c>
      <c r="L53" s="4" t="s">
        <v>499</v>
      </c>
    </row>
    <row r="54" spans="1:12" ht="69.95" customHeight="1">
      <c r="A54" s="3" t="s">
        <v>106</v>
      </c>
      <c r="B54" s="4"/>
      <c r="C54" s="4" t="s">
        <v>502</v>
      </c>
      <c r="D54" s="4"/>
      <c r="E54" s="4" t="s">
        <v>497</v>
      </c>
      <c r="F54" s="4" t="s">
        <v>497</v>
      </c>
      <c r="G54" s="4" t="s">
        <v>497</v>
      </c>
      <c r="H54" s="4"/>
      <c r="I54" s="4">
        <v>22750</v>
      </c>
      <c r="J54" s="4">
        <v>58.7</v>
      </c>
      <c r="K54" s="4" t="s">
        <v>498</v>
      </c>
      <c r="L54" s="4" t="s">
        <v>499</v>
      </c>
    </row>
    <row r="55" spans="1:12" ht="69.95" customHeight="1">
      <c r="A55" s="3" t="s">
        <v>108</v>
      </c>
      <c r="B55" s="4"/>
      <c r="C55" s="4" t="s">
        <v>502</v>
      </c>
      <c r="D55" s="4"/>
      <c r="E55" s="4" t="s">
        <v>497</v>
      </c>
      <c r="F55" s="4" t="s">
        <v>497</v>
      </c>
      <c r="G55" s="4" t="s">
        <v>497</v>
      </c>
      <c r="H55" s="4"/>
      <c r="I55" s="4">
        <v>49000</v>
      </c>
      <c r="J55" s="4">
        <v>66.3</v>
      </c>
      <c r="K55" s="4" t="s">
        <v>498</v>
      </c>
      <c r="L55" s="4" t="s">
        <v>562</v>
      </c>
    </row>
    <row r="56" spans="1:12" ht="69.95" customHeight="1">
      <c r="A56" s="3" t="s">
        <v>110</v>
      </c>
      <c r="B56" s="4"/>
      <c r="C56" s="4" t="s">
        <v>502</v>
      </c>
      <c r="D56" s="4"/>
      <c r="E56" s="4" t="s">
        <v>497</v>
      </c>
      <c r="F56" s="4" t="s">
        <v>497</v>
      </c>
      <c r="G56" s="4" t="s">
        <v>497</v>
      </c>
      <c r="H56" s="4"/>
      <c r="I56" s="4">
        <v>30300</v>
      </c>
      <c r="J56" s="4">
        <v>63.5</v>
      </c>
      <c r="K56" s="4" t="s">
        <v>498</v>
      </c>
      <c r="L56" s="4" t="s">
        <v>499</v>
      </c>
    </row>
    <row r="57" spans="1:12" ht="69.95" customHeight="1">
      <c r="A57" s="3" t="s">
        <v>112</v>
      </c>
      <c r="B57" s="4"/>
      <c r="C57" s="4" t="s">
        <v>502</v>
      </c>
      <c r="D57" s="4"/>
      <c r="E57" s="4" t="s">
        <v>497</v>
      </c>
      <c r="F57" s="4" t="s">
        <v>497</v>
      </c>
      <c r="G57" s="4" t="s">
        <v>497</v>
      </c>
      <c r="H57" s="4"/>
      <c r="I57" s="4">
        <v>12500</v>
      </c>
      <c r="J57" s="4">
        <v>46</v>
      </c>
      <c r="K57" s="4" t="s">
        <v>498</v>
      </c>
      <c r="L57" s="4" t="s">
        <v>499</v>
      </c>
    </row>
    <row r="58" spans="1:12" ht="69.95" customHeight="1">
      <c r="A58" s="3" t="s">
        <v>114</v>
      </c>
      <c r="B58" s="4"/>
      <c r="C58" s="4" t="s">
        <v>502</v>
      </c>
      <c r="D58" s="4"/>
      <c r="E58" s="4" t="s">
        <v>497</v>
      </c>
      <c r="F58" s="4" t="s">
        <v>497</v>
      </c>
      <c r="G58" s="4" t="s">
        <v>497</v>
      </c>
      <c r="H58" s="4"/>
      <c r="I58" s="4">
        <v>14800</v>
      </c>
      <c r="J58" s="4">
        <v>47.7</v>
      </c>
      <c r="K58" s="4" t="s">
        <v>498</v>
      </c>
      <c r="L58" s="4" t="s">
        <v>503</v>
      </c>
    </row>
    <row r="59" spans="1:12" ht="69.95" customHeight="1">
      <c r="A59" s="3" t="s">
        <v>116</v>
      </c>
      <c r="B59" s="4"/>
      <c r="C59" s="4" t="s">
        <v>502</v>
      </c>
      <c r="D59" s="4"/>
      <c r="E59" s="4" t="s">
        <v>497</v>
      </c>
      <c r="F59" s="4" t="s">
        <v>497</v>
      </c>
      <c r="G59" s="4" t="s">
        <v>497</v>
      </c>
      <c r="H59" s="4"/>
      <c r="I59" s="4">
        <v>135585</v>
      </c>
      <c r="J59" s="4">
        <v>136.19999999999999</v>
      </c>
      <c r="K59" s="4" t="s">
        <v>498</v>
      </c>
      <c r="L59" s="4" t="s">
        <v>503</v>
      </c>
    </row>
    <row r="60" spans="1:12" ht="69.95" customHeight="1">
      <c r="A60" s="3" t="s">
        <v>118</v>
      </c>
      <c r="B60" s="4"/>
      <c r="C60" s="4" t="s">
        <v>502</v>
      </c>
      <c r="D60" s="4"/>
      <c r="E60" s="4" t="s">
        <v>497</v>
      </c>
      <c r="F60" s="4" t="s">
        <v>497</v>
      </c>
      <c r="G60" s="4" t="s">
        <v>497</v>
      </c>
      <c r="H60" s="4"/>
      <c r="I60" s="4">
        <v>20200</v>
      </c>
      <c r="J60" s="4">
        <v>51.8</v>
      </c>
      <c r="K60" s="4" t="s">
        <v>498</v>
      </c>
      <c r="L60" s="4" t="s">
        <v>563</v>
      </c>
    </row>
    <row r="61" spans="1:12" ht="69.95" customHeight="1">
      <c r="A61" s="3" t="s">
        <v>120</v>
      </c>
      <c r="B61" s="4"/>
      <c r="C61" s="4" t="s">
        <v>502</v>
      </c>
      <c r="D61" s="4"/>
      <c r="E61" s="4" t="s">
        <v>497</v>
      </c>
      <c r="F61" s="4" t="s">
        <v>497</v>
      </c>
      <c r="G61" s="4" t="s">
        <v>497</v>
      </c>
      <c r="H61" s="4"/>
      <c r="I61" s="4">
        <v>28000</v>
      </c>
      <c r="J61" s="4">
        <v>51.2</v>
      </c>
      <c r="K61" s="4" t="s">
        <v>498</v>
      </c>
      <c r="L61" s="4" t="s">
        <v>499</v>
      </c>
    </row>
    <row r="62" spans="1:12" ht="69.95" customHeight="1">
      <c r="A62" s="3" t="s">
        <v>122</v>
      </c>
      <c r="B62" s="4" t="s">
        <v>564</v>
      </c>
      <c r="C62" s="4" t="s">
        <v>560</v>
      </c>
      <c r="D62" s="4" t="s">
        <v>565</v>
      </c>
      <c r="E62" s="4" t="s">
        <v>497</v>
      </c>
      <c r="F62" s="4" t="s">
        <v>497</v>
      </c>
      <c r="G62" s="4" t="s">
        <v>497</v>
      </c>
      <c r="H62" s="4"/>
      <c r="I62" s="4">
        <v>602500</v>
      </c>
      <c r="J62" s="4">
        <v>202.2</v>
      </c>
      <c r="K62" s="4" t="s">
        <v>498</v>
      </c>
      <c r="L62" s="4" t="s">
        <v>499</v>
      </c>
    </row>
    <row r="63" spans="1:12" ht="69.95" customHeight="1">
      <c r="A63" s="3" t="s">
        <v>124</v>
      </c>
      <c r="B63" s="4"/>
      <c r="C63" s="4" t="s">
        <v>502</v>
      </c>
      <c r="D63" s="4"/>
      <c r="E63" s="4" t="s">
        <v>497</v>
      </c>
      <c r="F63" s="4" t="s">
        <v>497</v>
      </c>
      <c r="G63" s="4" t="s">
        <v>497</v>
      </c>
      <c r="H63" s="4"/>
      <c r="I63" s="4">
        <v>42400</v>
      </c>
      <c r="J63" s="4">
        <v>66.3</v>
      </c>
      <c r="K63" s="4" t="s">
        <v>498</v>
      </c>
      <c r="L63" s="4" t="s">
        <v>562</v>
      </c>
    </row>
    <row r="64" spans="1:12" ht="69.95" customHeight="1">
      <c r="A64" s="3" t="s">
        <v>126</v>
      </c>
      <c r="B64" s="4"/>
      <c r="C64" s="4" t="s">
        <v>502</v>
      </c>
      <c r="D64" s="4"/>
      <c r="E64" s="4" t="s">
        <v>497</v>
      </c>
      <c r="F64" s="4" t="s">
        <v>497</v>
      </c>
      <c r="G64" s="4" t="s">
        <v>497</v>
      </c>
      <c r="H64" s="4"/>
      <c r="I64" s="4">
        <v>64500</v>
      </c>
      <c r="J64" s="4">
        <v>107.8</v>
      </c>
      <c r="K64" s="4" t="s">
        <v>498</v>
      </c>
      <c r="L64" s="4" t="s">
        <v>499</v>
      </c>
    </row>
    <row r="65" spans="1:12" ht="69.95" customHeight="1">
      <c r="A65" s="3" t="s">
        <v>128</v>
      </c>
      <c r="B65" s="4"/>
      <c r="C65" s="4" t="s">
        <v>502</v>
      </c>
      <c r="D65" s="4"/>
      <c r="E65" s="4" t="s">
        <v>497</v>
      </c>
      <c r="F65" s="4" t="s">
        <v>497</v>
      </c>
      <c r="G65" s="4" t="s">
        <v>497</v>
      </c>
      <c r="H65" s="4"/>
      <c r="I65" s="4">
        <v>12500</v>
      </c>
      <c r="J65" s="4">
        <v>47.7</v>
      </c>
      <c r="K65" s="4" t="s">
        <v>498</v>
      </c>
      <c r="L65" s="4" t="s">
        <v>499</v>
      </c>
    </row>
    <row r="66" spans="1:12" ht="69.95" customHeight="1">
      <c r="A66" s="3" t="s">
        <v>130</v>
      </c>
      <c r="B66" s="4" t="s">
        <v>566</v>
      </c>
      <c r="C66" s="4" t="s">
        <v>538</v>
      </c>
      <c r="D66" s="4" t="s">
        <v>567</v>
      </c>
      <c r="E66" s="4" t="s">
        <v>497</v>
      </c>
      <c r="F66" s="4" t="s">
        <v>497</v>
      </c>
      <c r="G66" s="4" t="s">
        <v>497</v>
      </c>
      <c r="H66" s="4"/>
      <c r="I66" s="4">
        <v>30800</v>
      </c>
      <c r="J66" s="4">
        <v>62.3</v>
      </c>
      <c r="K66" s="4" t="s">
        <v>498</v>
      </c>
      <c r="L66" s="4" t="s">
        <v>499</v>
      </c>
    </row>
    <row r="67" spans="1:12" ht="69.95" customHeight="1">
      <c r="A67" s="3" t="s">
        <v>132</v>
      </c>
      <c r="B67" s="4" t="s">
        <v>568</v>
      </c>
      <c r="C67" s="4" t="s">
        <v>560</v>
      </c>
      <c r="D67" s="4" t="s">
        <v>565</v>
      </c>
      <c r="E67" s="4" t="s">
        <v>497</v>
      </c>
      <c r="F67" s="4" t="s">
        <v>497</v>
      </c>
      <c r="G67" s="4" t="s">
        <v>497</v>
      </c>
      <c r="H67" s="4"/>
      <c r="I67" s="4">
        <v>21500</v>
      </c>
      <c r="J67" s="4">
        <v>58</v>
      </c>
      <c r="K67" s="4" t="s">
        <v>498</v>
      </c>
      <c r="L67" s="4" t="s">
        <v>499</v>
      </c>
    </row>
    <row r="68" spans="1:12" ht="69.95" customHeight="1">
      <c r="A68" s="3" t="s">
        <v>134</v>
      </c>
      <c r="B68" s="4"/>
      <c r="C68" s="4" t="s">
        <v>502</v>
      </c>
      <c r="D68" s="4"/>
      <c r="E68" s="4"/>
      <c r="F68" s="4"/>
      <c r="G68" s="4"/>
      <c r="H68" s="4"/>
      <c r="I68" s="4"/>
      <c r="J68" s="4"/>
      <c r="K68" s="4" t="s">
        <v>502</v>
      </c>
      <c r="L68" s="4" t="s">
        <v>569</v>
      </c>
    </row>
    <row r="69" spans="1:12" ht="69.95" customHeight="1">
      <c r="A69" s="3" t="s">
        <v>135</v>
      </c>
      <c r="B69" s="4"/>
      <c r="C69" s="4" t="s">
        <v>502</v>
      </c>
      <c r="D69" s="4"/>
      <c r="E69" s="4" t="s">
        <v>497</v>
      </c>
      <c r="F69" s="4" t="s">
        <v>497</v>
      </c>
      <c r="G69" s="4" t="s">
        <v>497</v>
      </c>
      <c r="H69" s="4"/>
      <c r="I69" s="4">
        <v>44092</v>
      </c>
      <c r="J69" s="4">
        <v>86.4</v>
      </c>
      <c r="K69" s="4" t="s">
        <v>498</v>
      </c>
      <c r="L69" s="4" t="s">
        <v>503</v>
      </c>
    </row>
    <row r="70" spans="1:12" ht="69.95" customHeight="1">
      <c r="A70" s="3" t="s">
        <v>137</v>
      </c>
      <c r="B70" s="4"/>
      <c r="C70" s="4" t="s">
        <v>502</v>
      </c>
      <c r="D70" s="4"/>
      <c r="E70" s="4" t="s">
        <v>497</v>
      </c>
      <c r="F70" s="4" t="s">
        <v>497</v>
      </c>
      <c r="G70" s="4" t="s">
        <v>497</v>
      </c>
      <c r="H70" s="4"/>
      <c r="I70" s="4">
        <v>10450</v>
      </c>
      <c r="J70" s="4">
        <v>47.3</v>
      </c>
      <c r="K70" s="4" t="s">
        <v>498</v>
      </c>
      <c r="L70" s="4" t="s">
        <v>570</v>
      </c>
    </row>
    <row r="71" spans="1:12" ht="69.95" customHeight="1">
      <c r="A71" s="3" t="s">
        <v>139</v>
      </c>
      <c r="B71" s="4"/>
      <c r="C71" s="4" t="s">
        <v>502</v>
      </c>
      <c r="D71" s="4"/>
      <c r="E71" s="4" t="s">
        <v>497</v>
      </c>
      <c r="F71" s="4" t="s">
        <v>497</v>
      </c>
      <c r="G71" s="4" t="s">
        <v>497</v>
      </c>
      <c r="H71" s="4"/>
      <c r="I71" s="4">
        <v>18300</v>
      </c>
      <c r="J71" s="4">
        <v>55.3</v>
      </c>
      <c r="K71" s="4" t="s">
        <v>498</v>
      </c>
      <c r="L71" s="4" t="s">
        <v>499</v>
      </c>
    </row>
    <row r="72" spans="1:12" ht="69.95" customHeight="1">
      <c r="A72" s="3" t="s">
        <v>141</v>
      </c>
      <c r="B72" s="4"/>
      <c r="C72" s="4" t="s">
        <v>502</v>
      </c>
      <c r="D72" s="4"/>
      <c r="E72" s="4" t="s">
        <v>497</v>
      </c>
      <c r="F72" s="4" t="s">
        <v>497</v>
      </c>
      <c r="G72" s="4" t="s">
        <v>497</v>
      </c>
      <c r="H72" s="4"/>
      <c r="I72" s="4">
        <v>47600</v>
      </c>
      <c r="J72" s="4">
        <v>68.400000000000006</v>
      </c>
      <c r="K72" s="4" t="s">
        <v>498</v>
      </c>
      <c r="L72" s="4" t="s">
        <v>499</v>
      </c>
    </row>
    <row r="73" spans="1:12" ht="69.95" customHeight="1">
      <c r="A73" s="3" t="s">
        <v>143</v>
      </c>
      <c r="B73" s="4"/>
      <c r="C73" s="4" t="s">
        <v>502</v>
      </c>
      <c r="D73" s="4"/>
      <c r="E73" s="4" t="s">
        <v>497</v>
      </c>
      <c r="F73" s="4" t="s">
        <v>497</v>
      </c>
      <c r="G73" s="4" t="s">
        <v>497</v>
      </c>
      <c r="H73" s="4"/>
      <c r="I73" s="4">
        <v>99500</v>
      </c>
      <c r="J73" s="4">
        <v>99.4</v>
      </c>
      <c r="K73" s="4" t="s">
        <v>498</v>
      </c>
      <c r="L73" s="4" t="s">
        <v>499</v>
      </c>
    </row>
    <row r="74" spans="1:12" ht="69.95" customHeight="1">
      <c r="A74" s="3" t="s">
        <v>145</v>
      </c>
      <c r="B74" s="4" t="s">
        <v>146</v>
      </c>
      <c r="C74" s="4" t="s">
        <v>495</v>
      </c>
      <c r="D74" s="4" t="s">
        <v>571</v>
      </c>
      <c r="E74" s="4" t="s">
        <v>497</v>
      </c>
      <c r="F74" s="4" t="s">
        <v>497</v>
      </c>
      <c r="G74" s="4" t="s">
        <v>497</v>
      </c>
      <c r="H74" s="4" t="s">
        <v>571</v>
      </c>
      <c r="I74" s="4">
        <v>154500</v>
      </c>
      <c r="J74" s="4">
        <v>110.3</v>
      </c>
      <c r="K74" s="4" t="s">
        <v>498</v>
      </c>
      <c r="L74" s="4" t="s">
        <v>499</v>
      </c>
    </row>
    <row r="75" spans="1:12" ht="69.95" customHeight="1">
      <c r="A75" s="3" t="s">
        <v>147</v>
      </c>
      <c r="B75" s="4" t="s">
        <v>148</v>
      </c>
      <c r="C75" s="4" t="s">
        <v>495</v>
      </c>
      <c r="D75" s="4" t="s">
        <v>572</v>
      </c>
      <c r="E75" s="4" t="s">
        <v>497</v>
      </c>
      <c r="F75" s="4" t="s">
        <v>497</v>
      </c>
      <c r="G75" s="4" t="s">
        <v>497</v>
      </c>
      <c r="H75" s="4" t="s">
        <v>572</v>
      </c>
      <c r="I75" s="4">
        <v>194700</v>
      </c>
      <c r="J75" s="4">
        <v>138.30000000000001</v>
      </c>
      <c r="K75" s="4" t="s">
        <v>498</v>
      </c>
      <c r="L75" s="4" t="s">
        <v>526</v>
      </c>
    </row>
    <row r="76" spans="1:12" ht="69.95" customHeight="1">
      <c r="A76" s="3" t="s">
        <v>149</v>
      </c>
      <c r="B76" s="4"/>
      <c r="C76" s="4" t="s">
        <v>502</v>
      </c>
      <c r="D76" s="4"/>
      <c r="E76" s="4" t="s">
        <v>497</v>
      </c>
      <c r="F76" s="4" t="s">
        <v>497</v>
      </c>
      <c r="G76" s="4" t="s">
        <v>497</v>
      </c>
      <c r="H76" s="4"/>
      <c r="I76" s="4">
        <v>39600</v>
      </c>
      <c r="J76" s="4">
        <v>66.8</v>
      </c>
      <c r="K76" s="4" t="s">
        <v>498</v>
      </c>
      <c r="L76" s="4" t="s">
        <v>499</v>
      </c>
    </row>
    <row r="77" spans="1:12" ht="69.95" customHeight="1">
      <c r="A77" s="3" t="s">
        <v>151</v>
      </c>
      <c r="B77" s="4"/>
      <c r="C77" s="4" t="s">
        <v>502</v>
      </c>
      <c r="D77" s="4"/>
      <c r="E77" s="4" t="s">
        <v>497</v>
      </c>
      <c r="F77" s="4" t="s">
        <v>497</v>
      </c>
      <c r="G77" s="4" t="s">
        <v>497</v>
      </c>
      <c r="H77" s="4"/>
      <c r="I77" s="4">
        <v>92500</v>
      </c>
      <c r="J77" s="4">
        <v>96.8</v>
      </c>
      <c r="K77" s="4" t="s">
        <v>498</v>
      </c>
      <c r="L77" s="4" t="s">
        <v>499</v>
      </c>
    </row>
    <row r="78" spans="1:12" ht="69.95" customHeight="1">
      <c r="A78" s="3" t="s">
        <v>153</v>
      </c>
      <c r="B78" s="4"/>
      <c r="C78" s="4" t="s">
        <v>502</v>
      </c>
      <c r="D78" s="4"/>
      <c r="E78" s="4" t="s">
        <v>497</v>
      </c>
      <c r="F78" s="4" t="s">
        <v>497</v>
      </c>
      <c r="G78" s="4" t="s">
        <v>497</v>
      </c>
      <c r="H78" s="4"/>
      <c r="I78" s="4">
        <v>35650</v>
      </c>
      <c r="J78" s="4">
        <v>62.3</v>
      </c>
      <c r="K78" s="4" t="s">
        <v>498</v>
      </c>
      <c r="L78" s="4" t="s">
        <v>499</v>
      </c>
    </row>
    <row r="79" spans="1:12" ht="69.95" customHeight="1">
      <c r="A79" s="3" t="s">
        <v>155</v>
      </c>
      <c r="B79" s="4"/>
      <c r="C79" s="4" t="s">
        <v>502</v>
      </c>
      <c r="D79" s="4"/>
      <c r="E79" s="4" t="s">
        <v>497</v>
      </c>
      <c r="F79" s="4" t="s">
        <v>497</v>
      </c>
      <c r="G79" s="4" t="s">
        <v>497</v>
      </c>
      <c r="H79" s="4"/>
      <c r="I79" s="4">
        <v>34524</v>
      </c>
      <c r="J79" s="4">
        <v>69.7</v>
      </c>
      <c r="K79" s="4" t="s">
        <v>498</v>
      </c>
      <c r="L79" s="4" t="s">
        <v>499</v>
      </c>
    </row>
    <row r="80" spans="1:12" ht="69.95" customHeight="1">
      <c r="A80" s="3" t="s">
        <v>157</v>
      </c>
      <c r="B80" s="4" t="s">
        <v>573</v>
      </c>
      <c r="C80" s="4" t="s">
        <v>538</v>
      </c>
      <c r="D80" s="4" t="s">
        <v>574</v>
      </c>
      <c r="E80" s="4" t="s">
        <v>497</v>
      </c>
      <c r="F80" s="4" t="s">
        <v>497</v>
      </c>
      <c r="G80" s="4" t="s">
        <v>497</v>
      </c>
      <c r="H80" s="4"/>
      <c r="I80" s="4">
        <v>10700</v>
      </c>
      <c r="J80" s="4">
        <v>42.6</v>
      </c>
      <c r="K80" s="4" t="s">
        <v>498</v>
      </c>
      <c r="L80" s="4" t="s">
        <v>499</v>
      </c>
    </row>
    <row r="81" spans="1:12" ht="69.95" customHeight="1">
      <c r="A81" s="3" t="s">
        <v>159</v>
      </c>
      <c r="B81" s="4"/>
      <c r="C81" s="4" t="s">
        <v>502</v>
      </c>
      <c r="D81" s="4"/>
      <c r="E81" s="4" t="s">
        <v>497</v>
      </c>
      <c r="F81" s="4" t="s">
        <v>497</v>
      </c>
      <c r="G81" s="4" t="s">
        <v>497</v>
      </c>
      <c r="H81" s="4"/>
      <c r="I81" s="4">
        <v>16100</v>
      </c>
      <c r="J81" s="4">
        <v>48.4</v>
      </c>
      <c r="K81" s="4" t="s">
        <v>498</v>
      </c>
      <c r="L81" s="4" t="s">
        <v>503</v>
      </c>
    </row>
    <row r="82" spans="1:12" ht="69.95" customHeight="1">
      <c r="A82" s="3" t="s">
        <v>161</v>
      </c>
      <c r="B82" s="4"/>
      <c r="C82" s="4" t="s">
        <v>502</v>
      </c>
      <c r="D82" s="4"/>
      <c r="E82" s="4" t="s">
        <v>497</v>
      </c>
      <c r="F82" s="4" t="s">
        <v>497</v>
      </c>
      <c r="G82" s="4" t="s">
        <v>497</v>
      </c>
      <c r="H82" s="4"/>
      <c r="I82" s="4">
        <v>47450</v>
      </c>
      <c r="J82" s="4">
        <v>87.8</v>
      </c>
      <c r="K82" s="4" t="s">
        <v>498</v>
      </c>
      <c r="L82" s="4" t="s">
        <v>499</v>
      </c>
    </row>
    <row r="83" spans="1:12" ht="69.95" customHeight="1">
      <c r="A83" s="3" t="s">
        <v>163</v>
      </c>
      <c r="B83" s="4" t="s">
        <v>164</v>
      </c>
      <c r="C83" s="4" t="s">
        <v>495</v>
      </c>
      <c r="D83" s="4" t="s">
        <v>575</v>
      </c>
      <c r="E83" s="4" t="s">
        <v>497</v>
      </c>
      <c r="F83" s="4" t="s">
        <v>497</v>
      </c>
      <c r="G83" s="4" t="s">
        <v>497</v>
      </c>
      <c r="H83" s="4" t="s">
        <v>575</v>
      </c>
      <c r="I83" s="4">
        <v>150000</v>
      </c>
      <c r="J83" s="4">
        <v>119.6</v>
      </c>
      <c r="K83" s="4" t="s">
        <v>498</v>
      </c>
      <c r="L83" s="4" t="s">
        <v>499</v>
      </c>
    </row>
    <row r="84" spans="1:12" ht="69.95" customHeight="1">
      <c r="A84" s="3" t="s">
        <v>165</v>
      </c>
      <c r="B84" s="4"/>
      <c r="C84" s="4" t="s">
        <v>502</v>
      </c>
      <c r="D84" s="4"/>
      <c r="E84" s="4" t="s">
        <v>497</v>
      </c>
      <c r="F84" s="4" t="s">
        <v>497</v>
      </c>
      <c r="G84" s="4" t="s">
        <v>497</v>
      </c>
      <c r="H84" s="4"/>
      <c r="I84" s="4">
        <v>12050</v>
      </c>
      <c r="J84" s="4">
        <v>47.3</v>
      </c>
      <c r="K84" s="4" t="s">
        <v>498</v>
      </c>
      <c r="L84" s="4" t="s">
        <v>503</v>
      </c>
    </row>
    <row r="85" spans="1:12" ht="69.95" customHeight="1">
      <c r="A85" s="3" t="s">
        <v>167</v>
      </c>
      <c r="B85" s="4"/>
      <c r="C85" s="4" t="s">
        <v>502</v>
      </c>
      <c r="D85" s="4"/>
      <c r="E85" s="4" t="s">
        <v>497</v>
      </c>
      <c r="F85" s="4" t="s">
        <v>497</v>
      </c>
      <c r="G85" s="4" t="s">
        <v>497</v>
      </c>
      <c r="H85" s="4"/>
      <c r="I85" s="4">
        <v>144500</v>
      </c>
      <c r="J85" s="4">
        <v>102.5</v>
      </c>
      <c r="K85" s="4" t="s">
        <v>498</v>
      </c>
      <c r="L85" s="4" t="s">
        <v>499</v>
      </c>
    </row>
    <row r="86" spans="1:12" ht="69.95" customHeight="1">
      <c r="A86" s="3" t="s">
        <v>169</v>
      </c>
      <c r="B86" s="4" t="s">
        <v>576</v>
      </c>
      <c r="C86" s="4" t="s">
        <v>495</v>
      </c>
      <c r="D86" s="4" t="s">
        <v>577</v>
      </c>
      <c r="E86" s="4" t="s">
        <v>497</v>
      </c>
      <c r="F86" s="4" t="s">
        <v>497</v>
      </c>
      <c r="G86" s="4" t="s">
        <v>497</v>
      </c>
      <c r="H86" s="4" t="s">
        <v>577</v>
      </c>
      <c r="I86" s="4">
        <v>99600</v>
      </c>
      <c r="J86" s="4">
        <v>99.8</v>
      </c>
      <c r="K86" s="4" t="s">
        <v>498</v>
      </c>
      <c r="L86" s="4" t="s">
        <v>578</v>
      </c>
    </row>
    <row r="87" spans="1:12" ht="69.95" customHeight="1">
      <c r="A87" s="3" t="s">
        <v>171</v>
      </c>
      <c r="B87" s="4" t="s">
        <v>579</v>
      </c>
      <c r="C87" s="4" t="s">
        <v>560</v>
      </c>
      <c r="D87" s="4" t="s">
        <v>565</v>
      </c>
      <c r="E87" s="4" t="s">
        <v>497</v>
      </c>
      <c r="F87" s="4" t="s">
        <v>497</v>
      </c>
      <c r="G87" s="4" t="s">
        <v>497</v>
      </c>
      <c r="H87" s="4"/>
      <c r="I87" s="4">
        <v>38850</v>
      </c>
      <c r="J87" s="4">
        <v>68.8</v>
      </c>
      <c r="K87" s="4" t="s">
        <v>498</v>
      </c>
      <c r="L87" s="4" t="s">
        <v>499</v>
      </c>
    </row>
    <row r="88" spans="1:12" ht="69.95" customHeight="1">
      <c r="A88" s="3" t="s">
        <v>173</v>
      </c>
      <c r="B88" s="4"/>
      <c r="C88" s="4" t="s">
        <v>502</v>
      </c>
      <c r="D88" s="4"/>
      <c r="E88" s="4" t="s">
        <v>497</v>
      </c>
      <c r="F88" s="4" t="s">
        <v>497</v>
      </c>
      <c r="G88" s="4" t="s">
        <v>497</v>
      </c>
      <c r="H88" s="4"/>
      <c r="I88" s="4">
        <v>124340</v>
      </c>
      <c r="J88" s="4">
        <v>118.8</v>
      </c>
      <c r="K88" s="4" t="s">
        <v>498</v>
      </c>
      <c r="L88" s="4" t="s">
        <v>499</v>
      </c>
    </row>
    <row r="89" spans="1:12" ht="69.95" customHeight="1">
      <c r="A89" s="3" t="s">
        <v>175</v>
      </c>
      <c r="B89" s="4" t="s">
        <v>580</v>
      </c>
      <c r="C89" s="4" t="s">
        <v>538</v>
      </c>
      <c r="D89" s="4" t="s">
        <v>581</v>
      </c>
      <c r="E89" s="4" t="s">
        <v>497</v>
      </c>
      <c r="F89" s="4" t="s">
        <v>497</v>
      </c>
      <c r="G89" s="4" t="s">
        <v>497</v>
      </c>
      <c r="H89" s="4"/>
      <c r="I89" s="4">
        <v>39500</v>
      </c>
      <c r="J89" s="4">
        <v>73.2</v>
      </c>
      <c r="K89" s="4" t="s">
        <v>498</v>
      </c>
      <c r="L89" s="4" t="s">
        <v>499</v>
      </c>
    </row>
    <row r="90" spans="1:12" ht="69.95" customHeight="1">
      <c r="A90" s="3" t="s">
        <v>177</v>
      </c>
      <c r="B90" s="4" t="s">
        <v>582</v>
      </c>
      <c r="C90" s="4" t="s">
        <v>560</v>
      </c>
      <c r="D90" s="4" t="s">
        <v>561</v>
      </c>
      <c r="E90" s="4" t="s">
        <v>497</v>
      </c>
      <c r="F90" s="4" t="s">
        <v>497</v>
      </c>
      <c r="G90" s="4" t="s">
        <v>497</v>
      </c>
      <c r="H90" s="4"/>
      <c r="I90" s="4">
        <v>30843</v>
      </c>
      <c r="J90" s="4">
        <v>69.8</v>
      </c>
      <c r="K90" s="4" t="s">
        <v>498</v>
      </c>
      <c r="L90" s="4" t="s">
        <v>499</v>
      </c>
    </row>
    <row r="91" spans="1:12" ht="69.95" customHeight="1">
      <c r="A91" s="3" t="s">
        <v>179</v>
      </c>
      <c r="B91" s="4"/>
      <c r="C91" s="4" t="s">
        <v>502</v>
      </c>
      <c r="D91" s="4"/>
      <c r="E91" s="4" t="s">
        <v>497</v>
      </c>
      <c r="F91" s="4" t="s">
        <v>497</v>
      </c>
      <c r="G91" s="4" t="s">
        <v>497</v>
      </c>
      <c r="H91" s="4"/>
      <c r="I91" s="4">
        <v>73000</v>
      </c>
      <c r="J91" s="4">
        <v>80.2</v>
      </c>
      <c r="K91" s="4" t="s">
        <v>498</v>
      </c>
      <c r="L91" s="4" t="s">
        <v>499</v>
      </c>
    </row>
    <row r="92" spans="1:12" ht="69.95" customHeight="1">
      <c r="A92" s="3" t="s">
        <v>181</v>
      </c>
      <c r="B92" s="4"/>
      <c r="C92" s="4" t="s">
        <v>502</v>
      </c>
      <c r="D92" s="4"/>
      <c r="E92" s="4" t="s">
        <v>497</v>
      </c>
      <c r="F92" s="4" t="s">
        <v>497</v>
      </c>
      <c r="G92" s="4" t="s">
        <v>497</v>
      </c>
      <c r="H92" s="4"/>
      <c r="I92" s="4">
        <v>38360</v>
      </c>
      <c r="J92" s="4">
        <v>68</v>
      </c>
      <c r="K92" s="4" t="s">
        <v>498</v>
      </c>
      <c r="L92" s="4" t="s">
        <v>499</v>
      </c>
    </row>
    <row r="93" spans="1:12" ht="69.95" customHeight="1">
      <c r="A93" s="3" t="s">
        <v>183</v>
      </c>
      <c r="B93" s="4"/>
      <c r="C93" s="4" t="s">
        <v>502</v>
      </c>
      <c r="D93" s="4"/>
      <c r="E93" s="4" t="s">
        <v>497</v>
      </c>
      <c r="F93" s="4" t="s">
        <v>497</v>
      </c>
      <c r="G93" s="4" t="s">
        <v>497</v>
      </c>
      <c r="H93" s="4"/>
      <c r="I93" s="4">
        <v>106250</v>
      </c>
      <c r="J93" s="4">
        <v>110.6</v>
      </c>
      <c r="K93" s="4" t="s">
        <v>498</v>
      </c>
      <c r="L93" s="4" t="s">
        <v>499</v>
      </c>
    </row>
    <row r="94" spans="1:12" ht="69.95" customHeight="1">
      <c r="A94" s="3" t="s">
        <v>185</v>
      </c>
      <c r="B94" s="4" t="s">
        <v>583</v>
      </c>
      <c r="C94" s="4" t="s">
        <v>560</v>
      </c>
      <c r="D94" s="4" t="s">
        <v>561</v>
      </c>
      <c r="E94" s="4" t="s">
        <v>497</v>
      </c>
      <c r="F94" s="4" t="s">
        <v>497</v>
      </c>
      <c r="G94" s="4" t="s">
        <v>497</v>
      </c>
      <c r="H94" s="4"/>
      <c r="I94" s="4">
        <v>17120</v>
      </c>
      <c r="J94" s="4">
        <v>57.7</v>
      </c>
      <c r="K94" s="4" t="s">
        <v>498</v>
      </c>
      <c r="L94" s="4" t="s">
        <v>584</v>
      </c>
    </row>
    <row r="95" spans="1:12" ht="69.95" customHeight="1">
      <c r="A95" s="3" t="s">
        <v>187</v>
      </c>
      <c r="B95" s="4" t="s">
        <v>585</v>
      </c>
      <c r="C95" s="4" t="s">
        <v>560</v>
      </c>
      <c r="D95" s="4" t="s">
        <v>565</v>
      </c>
      <c r="E95" s="4" t="s">
        <v>497</v>
      </c>
      <c r="F95" s="4" t="s">
        <v>497</v>
      </c>
      <c r="G95" s="4" t="s">
        <v>497</v>
      </c>
      <c r="H95" s="4"/>
      <c r="I95" s="4">
        <v>317465</v>
      </c>
      <c r="J95" s="4">
        <v>153.19999999999999</v>
      </c>
      <c r="K95" s="4" t="s">
        <v>498</v>
      </c>
      <c r="L95" s="4" t="s">
        <v>499</v>
      </c>
    </row>
    <row r="96" spans="1:12" ht="69.95" customHeight="1">
      <c r="A96" s="3" t="s">
        <v>189</v>
      </c>
      <c r="B96" s="4"/>
      <c r="C96" s="4" t="s">
        <v>502</v>
      </c>
      <c r="D96" s="4"/>
      <c r="E96" s="4" t="s">
        <v>497</v>
      </c>
      <c r="F96" s="4" t="s">
        <v>497</v>
      </c>
      <c r="G96" s="4" t="s">
        <v>497</v>
      </c>
      <c r="H96" s="4"/>
      <c r="I96" s="4">
        <v>10700</v>
      </c>
      <c r="J96" s="4">
        <v>42.6</v>
      </c>
      <c r="K96" s="4" t="s">
        <v>498</v>
      </c>
      <c r="L96" s="4" t="s">
        <v>499</v>
      </c>
    </row>
    <row r="97" spans="1:12" ht="69.95" customHeight="1">
      <c r="A97" s="3" t="s">
        <v>191</v>
      </c>
      <c r="B97" s="4"/>
      <c r="C97" s="4" t="s">
        <v>502</v>
      </c>
      <c r="D97" s="4"/>
      <c r="E97" s="4" t="s">
        <v>497</v>
      </c>
      <c r="F97" s="4" t="s">
        <v>497</v>
      </c>
      <c r="G97" s="4" t="s">
        <v>497</v>
      </c>
      <c r="H97" s="4"/>
      <c r="I97" s="4">
        <v>31100</v>
      </c>
      <c r="J97" s="4">
        <v>53.9</v>
      </c>
      <c r="K97" s="4" t="s">
        <v>498</v>
      </c>
      <c r="L97" s="4" t="s">
        <v>499</v>
      </c>
    </row>
    <row r="98" spans="1:12" ht="69.95" customHeight="1">
      <c r="A98" s="3" t="s">
        <v>193</v>
      </c>
      <c r="B98" s="4"/>
      <c r="C98" s="4" t="s">
        <v>502</v>
      </c>
      <c r="D98" s="4"/>
      <c r="E98" s="4" t="s">
        <v>497</v>
      </c>
      <c r="F98" s="4" t="s">
        <v>497</v>
      </c>
      <c r="G98" s="4" t="s">
        <v>497</v>
      </c>
      <c r="H98" s="4"/>
      <c r="I98" s="4">
        <v>90500</v>
      </c>
      <c r="J98" s="4">
        <v>96.4</v>
      </c>
      <c r="K98" s="4" t="s">
        <v>498</v>
      </c>
      <c r="L98" s="4" t="s">
        <v>586</v>
      </c>
    </row>
    <row r="99" spans="1:12" ht="69.95" customHeight="1">
      <c r="A99" s="3" t="s">
        <v>195</v>
      </c>
      <c r="B99" s="4"/>
      <c r="C99" s="4" t="s">
        <v>502</v>
      </c>
      <c r="D99" s="4"/>
      <c r="E99" s="4" t="s">
        <v>497</v>
      </c>
      <c r="F99" s="4" t="s">
        <v>497</v>
      </c>
      <c r="G99" s="4" t="s">
        <v>497</v>
      </c>
      <c r="H99" s="4"/>
      <c r="I99" s="4">
        <v>70000</v>
      </c>
      <c r="J99" s="4">
        <v>76.099999999999994</v>
      </c>
      <c r="K99" s="4" t="s">
        <v>498</v>
      </c>
      <c r="L99" s="4" t="s">
        <v>499</v>
      </c>
    </row>
    <row r="100" spans="1:12" ht="69.95" customHeight="1">
      <c r="A100" s="3" t="s">
        <v>197</v>
      </c>
      <c r="B100" s="4"/>
      <c r="C100" s="4" t="s">
        <v>502</v>
      </c>
      <c r="D100" s="4"/>
      <c r="E100" s="4" t="s">
        <v>497</v>
      </c>
      <c r="F100" s="4" t="s">
        <v>497</v>
      </c>
      <c r="G100" s="4" t="s">
        <v>497</v>
      </c>
      <c r="H100" s="4"/>
      <c r="I100" s="4">
        <v>73200</v>
      </c>
      <c r="J100" s="4">
        <v>88.3</v>
      </c>
      <c r="K100" s="4" t="s">
        <v>498</v>
      </c>
      <c r="L100" s="4" t="s">
        <v>499</v>
      </c>
    </row>
    <row r="101" spans="1:12" ht="69.95" customHeight="1">
      <c r="A101" s="3" t="s">
        <v>199</v>
      </c>
      <c r="B101" s="4" t="s">
        <v>587</v>
      </c>
      <c r="C101" s="4" t="s">
        <v>538</v>
      </c>
      <c r="D101" s="4" t="s">
        <v>588</v>
      </c>
      <c r="E101" s="4" t="s">
        <v>497</v>
      </c>
      <c r="F101" s="4" t="s">
        <v>497</v>
      </c>
      <c r="G101" s="4" t="s">
        <v>497</v>
      </c>
      <c r="H101" s="4"/>
      <c r="I101" s="4">
        <v>12500</v>
      </c>
      <c r="J101" s="4">
        <v>43.8</v>
      </c>
      <c r="K101" s="4" t="s">
        <v>498</v>
      </c>
      <c r="L101" s="4" t="s">
        <v>499</v>
      </c>
    </row>
    <row r="102" spans="1:12" ht="69.95" customHeight="1">
      <c r="A102" s="3" t="s">
        <v>201</v>
      </c>
      <c r="B102" s="4"/>
      <c r="C102" s="4" t="s">
        <v>502</v>
      </c>
      <c r="D102" s="4"/>
      <c r="E102" s="4" t="s">
        <v>497</v>
      </c>
      <c r="F102" s="4" t="s">
        <v>497</v>
      </c>
      <c r="G102" s="4" t="s">
        <v>497</v>
      </c>
      <c r="H102" s="4"/>
      <c r="I102" s="4">
        <v>6614</v>
      </c>
      <c r="J102" s="4">
        <v>34.9</v>
      </c>
      <c r="K102" s="4" t="s">
        <v>498</v>
      </c>
      <c r="L102" s="4" t="s">
        <v>503</v>
      </c>
    </row>
    <row r="103" spans="1:12" ht="69.95" customHeight="1">
      <c r="A103" s="3" t="s">
        <v>203</v>
      </c>
      <c r="B103" s="4"/>
      <c r="C103" s="4" t="s">
        <v>502</v>
      </c>
      <c r="D103" s="4"/>
      <c r="E103" s="4" t="s">
        <v>497</v>
      </c>
      <c r="F103" s="4" t="s">
        <v>497</v>
      </c>
      <c r="G103" s="4" t="s">
        <v>497</v>
      </c>
      <c r="H103" s="4"/>
      <c r="I103" s="4">
        <v>11200</v>
      </c>
      <c r="J103" s="4">
        <v>43.4</v>
      </c>
      <c r="K103" s="4" t="s">
        <v>498</v>
      </c>
      <c r="L103" s="4" t="s">
        <v>503</v>
      </c>
    </row>
    <row r="104" spans="1:12" ht="69.95" customHeight="1">
      <c r="A104" s="3" t="s">
        <v>205</v>
      </c>
      <c r="B104" s="4"/>
      <c r="C104" s="4" t="s">
        <v>502</v>
      </c>
      <c r="D104" s="4"/>
      <c r="E104" s="4" t="s">
        <v>497</v>
      </c>
      <c r="F104" s="4" t="s">
        <v>497</v>
      </c>
      <c r="G104" s="4" t="s">
        <v>497</v>
      </c>
      <c r="H104" s="4"/>
      <c r="I104" s="4">
        <v>8600</v>
      </c>
      <c r="J104" s="4">
        <v>35.799999999999997</v>
      </c>
      <c r="K104" s="4" t="s">
        <v>498</v>
      </c>
      <c r="L104" s="4" t="s">
        <v>503</v>
      </c>
    </row>
    <row r="105" spans="1:12" ht="69.95" customHeight="1">
      <c r="A105" s="3" t="s">
        <v>207</v>
      </c>
      <c r="B105" s="4"/>
      <c r="C105" s="4" t="s">
        <v>502</v>
      </c>
      <c r="D105" s="4"/>
      <c r="E105" s="4" t="s">
        <v>497</v>
      </c>
      <c r="F105" s="4" t="s">
        <v>497</v>
      </c>
      <c r="G105" s="4" t="s">
        <v>497</v>
      </c>
      <c r="H105" s="4"/>
      <c r="I105" s="4">
        <v>315000</v>
      </c>
      <c r="J105" s="4">
        <v>159.19999999999999</v>
      </c>
      <c r="K105" s="4" t="s">
        <v>498</v>
      </c>
      <c r="L105" s="4" t="s">
        <v>503</v>
      </c>
    </row>
    <row r="106" spans="1:12" ht="69.95" customHeight="1">
      <c r="A106" s="3" t="s">
        <v>209</v>
      </c>
      <c r="B106" s="4"/>
      <c r="C106" s="4" t="s">
        <v>502</v>
      </c>
      <c r="D106" s="4"/>
      <c r="E106" s="4" t="s">
        <v>497</v>
      </c>
      <c r="F106" s="4" t="s">
        <v>497</v>
      </c>
      <c r="G106" s="4" t="s">
        <v>497</v>
      </c>
      <c r="H106" s="4"/>
      <c r="I106" s="4">
        <v>450000</v>
      </c>
      <c r="J106" s="4">
        <v>201.3</v>
      </c>
      <c r="K106" s="4" t="s">
        <v>498</v>
      </c>
      <c r="L106" s="4" t="s">
        <v>503</v>
      </c>
    </row>
    <row r="107" spans="1:12" ht="69.95" customHeight="1">
      <c r="A107" s="3" t="s">
        <v>211</v>
      </c>
      <c r="B107" s="4"/>
      <c r="C107" s="4" t="s">
        <v>502</v>
      </c>
      <c r="D107" s="4"/>
      <c r="E107" s="4" t="s">
        <v>497</v>
      </c>
      <c r="F107" s="4" t="s">
        <v>497</v>
      </c>
      <c r="G107" s="4" t="s">
        <v>497</v>
      </c>
      <c r="H107" s="4"/>
      <c r="I107" s="4">
        <v>18300</v>
      </c>
      <c r="J107" s="4">
        <v>48.7</v>
      </c>
      <c r="K107" s="4" t="s">
        <v>498</v>
      </c>
      <c r="L107" s="4" t="s">
        <v>503</v>
      </c>
    </row>
    <row r="108" spans="1:12" ht="69.95" customHeight="1">
      <c r="A108" s="3" t="s">
        <v>213</v>
      </c>
      <c r="B108" s="4"/>
      <c r="C108" s="4" t="s">
        <v>502</v>
      </c>
      <c r="D108" s="4"/>
      <c r="E108" s="4" t="s">
        <v>497</v>
      </c>
      <c r="F108" s="4" t="s">
        <v>497</v>
      </c>
      <c r="G108" s="4" t="s">
        <v>497</v>
      </c>
      <c r="H108" s="4"/>
      <c r="I108" s="4">
        <v>837756</v>
      </c>
      <c r="J108" s="4">
        <v>222.9</v>
      </c>
      <c r="K108" s="4" t="s">
        <v>498</v>
      </c>
      <c r="L108" s="4" t="s">
        <v>503</v>
      </c>
    </row>
    <row r="109" spans="1:12" ht="69.95" customHeight="1">
      <c r="A109" s="3" t="s">
        <v>215</v>
      </c>
      <c r="B109" s="4"/>
      <c r="C109" s="4" t="s">
        <v>502</v>
      </c>
      <c r="D109" s="4"/>
      <c r="E109" s="4" t="s">
        <v>497</v>
      </c>
      <c r="F109" s="4" t="s">
        <v>497</v>
      </c>
      <c r="G109" s="4" t="s">
        <v>497</v>
      </c>
      <c r="H109" s="4"/>
      <c r="I109" s="4">
        <v>19500</v>
      </c>
      <c r="J109" s="4">
        <v>55.1</v>
      </c>
      <c r="K109" s="4" t="s">
        <v>498</v>
      </c>
      <c r="L109" s="4" t="s">
        <v>503</v>
      </c>
    </row>
    <row r="110" spans="1:12" ht="69.95" customHeight="1">
      <c r="A110" s="3" t="s">
        <v>217</v>
      </c>
      <c r="B110" s="4" t="s">
        <v>589</v>
      </c>
      <c r="C110" s="4" t="s">
        <v>560</v>
      </c>
      <c r="D110" s="4" t="s">
        <v>565</v>
      </c>
      <c r="E110" s="4" t="s">
        <v>497</v>
      </c>
      <c r="F110" s="4" t="s">
        <v>497</v>
      </c>
      <c r="G110" s="4" t="s">
        <v>497</v>
      </c>
      <c r="H110" s="4"/>
      <c r="I110" s="4">
        <v>44533</v>
      </c>
      <c r="J110" s="4">
        <v>93.4</v>
      </c>
      <c r="K110" s="4" t="s">
        <v>498</v>
      </c>
      <c r="L110" s="4" t="s">
        <v>503</v>
      </c>
    </row>
    <row r="111" spans="1:12" ht="69.95" customHeight="1">
      <c r="A111" s="3" t="s">
        <v>219</v>
      </c>
      <c r="B111" s="4"/>
      <c r="C111" s="4" t="s">
        <v>502</v>
      </c>
      <c r="D111" s="4"/>
      <c r="E111" s="4" t="s">
        <v>497</v>
      </c>
      <c r="F111" s="4" t="s">
        <v>497</v>
      </c>
      <c r="G111" s="4" t="s">
        <v>497</v>
      </c>
      <c r="H111" s="4"/>
      <c r="I111" s="4">
        <v>500449</v>
      </c>
      <c r="J111" s="4">
        <v>207</v>
      </c>
      <c r="K111" s="4" t="s">
        <v>498</v>
      </c>
      <c r="L111" s="4" t="s">
        <v>503</v>
      </c>
    </row>
    <row r="112" spans="1:12" ht="69.95" customHeight="1">
      <c r="A112" s="3" t="s">
        <v>221</v>
      </c>
      <c r="B112" s="4" t="s">
        <v>590</v>
      </c>
      <c r="C112" s="4" t="s">
        <v>495</v>
      </c>
      <c r="D112" s="4" t="s">
        <v>591</v>
      </c>
      <c r="E112" s="4" t="s">
        <v>497</v>
      </c>
      <c r="F112" s="4" t="s">
        <v>497</v>
      </c>
      <c r="G112" s="4" t="s">
        <v>497</v>
      </c>
      <c r="H112" s="4" t="s">
        <v>591</v>
      </c>
      <c r="I112" s="4">
        <v>166449</v>
      </c>
      <c r="J112" s="4">
        <v>111</v>
      </c>
      <c r="K112" s="4" t="s">
        <v>498</v>
      </c>
      <c r="L112" s="4" t="s">
        <v>499</v>
      </c>
    </row>
    <row r="113" spans="1:12" ht="69.95" customHeight="1">
      <c r="A113" s="3" t="s">
        <v>223</v>
      </c>
      <c r="B113" s="4"/>
      <c r="C113" s="4" t="s">
        <v>502</v>
      </c>
      <c r="D113" s="4"/>
      <c r="E113" s="4" t="s">
        <v>497</v>
      </c>
      <c r="F113" s="4" t="s">
        <v>497</v>
      </c>
      <c r="G113" s="4" t="s">
        <v>497</v>
      </c>
      <c r="H113" s="4"/>
      <c r="I113" s="4">
        <v>696661</v>
      </c>
      <c r="J113" s="4">
        <v>241.4</v>
      </c>
      <c r="K113" s="4" t="s">
        <v>498</v>
      </c>
      <c r="L113" s="4" t="s">
        <v>499</v>
      </c>
    </row>
    <row r="114" spans="1:12" ht="69.95" customHeight="1">
      <c r="A114" s="3" t="s">
        <v>225</v>
      </c>
      <c r="B114" s="4"/>
      <c r="C114" s="4" t="s">
        <v>502</v>
      </c>
      <c r="D114" s="4"/>
      <c r="E114" s="4" t="s">
        <v>497</v>
      </c>
      <c r="F114" s="4" t="s">
        <v>497</v>
      </c>
      <c r="G114" s="4" t="s">
        <v>497</v>
      </c>
      <c r="H114" s="4"/>
      <c r="I114" s="4">
        <v>16300</v>
      </c>
      <c r="J114" s="4">
        <v>48.9</v>
      </c>
      <c r="K114" s="4" t="s">
        <v>498</v>
      </c>
      <c r="L114" s="4" t="s">
        <v>563</v>
      </c>
    </row>
    <row r="115" spans="1:12" ht="69.95" customHeight="1">
      <c r="A115" s="3" t="s">
        <v>227</v>
      </c>
      <c r="B115" s="4" t="s">
        <v>592</v>
      </c>
      <c r="C115" s="4" t="s">
        <v>538</v>
      </c>
      <c r="D115" s="4" t="s">
        <v>593</v>
      </c>
      <c r="E115" s="4" t="s">
        <v>497</v>
      </c>
      <c r="F115" s="4" t="s">
        <v>497</v>
      </c>
      <c r="G115" s="4" t="s">
        <v>497</v>
      </c>
      <c r="H115" s="4"/>
      <c r="I115" s="4">
        <v>15000</v>
      </c>
      <c r="J115" s="4">
        <v>46.7</v>
      </c>
      <c r="K115" s="4" t="s">
        <v>498</v>
      </c>
      <c r="L115" s="4" t="s">
        <v>503</v>
      </c>
    </row>
    <row r="116" spans="1:12" ht="69.95" customHeight="1">
      <c r="A116" s="3" t="s">
        <v>229</v>
      </c>
      <c r="B116" s="4"/>
      <c r="C116" s="4" t="s">
        <v>502</v>
      </c>
      <c r="D116" s="4"/>
      <c r="E116" s="4" t="s">
        <v>497</v>
      </c>
      <c r="F116" s="4" t="s">
        <v>497</v>
      </c>
      <c r="G116" s="4" t="s">
        <v>497</v>
      </c>
      <c r="H116" s="4"/>
      <c r="I116" s="4">
        <v>79600</v>
      </c>
      <c r="J116" s="4">
        <v>91.17</v>
      </c>
      <c r="K116" s="4" t="s">
        <v>498</v>
      </c>
      <c r="L116" s="4" t="s">
        <v>556</v>
      </c>
    </row>
    <row r="117" spans="1:12" ht="69.95" customHeight="1">
      <c r="A117" s="3" t="s">
        <v>231</v>
      </c>
      <c r="B117" s="4" t="s">
        <v>594</v>
      </c>
      <c r="C117" s="4" t="s">
        <v>495</v>
      </c>
      <c r="D117" s="4" t="s">
        <v>595</v>
      </c>
      <c r="E117" s="4" t="s">
        <v>497</v>
      </c>
      <c r="F117" s="4" t="s">
        <v>497</v>
      </c>
      <c r="G117" s="4" t="s">
        <v>497</v>
      </c>
      <c r="H117" s="4" t="s">
        <v>595</v>
      </c>
      <c r="I117" s="4">
        <v>48502</v>
      </c>
      <c r="J117" s="4">
        <v>98</v>
      </c>
      <c r="K117" s="4" t="s">
        <v>498</v>
      </c>
      <c r="L117" s="4" t="s">
        <v>503</v>
      </c>
    </row>
    <row r="118" spans="1:12" ht="69.95" customHeight="1">
      <c r="A118" s="3" t="s">
        <v>233</v>
      </c>
      <c r="B118" s="4"/>
      <c r="C118" s="4" t="s">
        <v>502</v>
      </c>
      <c r="D118" s="4"/>
      <c r="E118" s="4" t="s">
        <v>497</v>
      </c>
      <c r="F118" s="4" t="s">
        <v>497</v>
      </c>
      <c r="G118" s="4" t="s">
        <v>497</v>
      </c>
      <c r="H118" s="4"/>
      <c r="I118" s="4">
        <v>39500</v>
      </c>
      <c r="J118" s="4">
        <v>69.2</v>
      </c>
      <c r="K118" s="4" t="s">
        <v>498</v>
      </c>
      <c r="L118" s="4" t="s">
        <v>499</v>
      </c>
    </row>
    <row r="119" spans="1:12" ht="69.95" customHeight="1">
      <c r="A119" s="3" t="s">
        <v>235</v>
      </c>
      <c r="B119" s="4"/>
      <c r="C119" s="4" t="s">
        <v>502</v>
      </c>
      <c r="D119" s="4"/>
      <c r="E119" s="4" t="s">
        <v>497</v>
      </c>
      <c r="F119" s="4" t="s">
        <v>497</v>
      </c>
      <c r="G119" s="4" t="s">
        <v>497</v>
      </c>
      <c r="H119" s="4"/>
      <c r="I119" s="4">
        <v>50706</v>
      </c>
      <c r="J119" s="4">
        <v>89.5</v>
      </c>
      <c r="K119" s="4" t="s">
        <v>498</v>
      </c>
      <c r="L119" s="4" t="s">
        <v>499</v>
      </c>
    </row>
    <row r="120" spans="1:12" ht="69.95" customHeight="1">
      <c r="A120" s="3" t="s">
        <v>237</v>
      </c>
      <c r="B120" s="4" t="s">
        <v>238</v>
      </c>
      <c r="C120" s="4" t="s">
        <v>495</v>
      </c>
      <c r="D120" s="4" t="s">
        <v>596</v>
      </c>
      <c r="E120" s="4" t="s">
        <v>497</v>
      </c>
      <c r="F120" s="4" t="s">
        <v>497</v>
      </c>
      <c r="G120" s="4" t="s">
        <v>497</v>
      </c>
      <c r="H120" s="4" t="s">
        <v>596</v>
      </c>
      <c r="I120" s="4">
        <v>149914</v>
      </c>
      <c r="J120" s="4">
        <v>103.2</v>
      </c>
      <c r="K120" s="4" t="s">
        <v>498</v>
      </c>
      <c r="L120" s="4" t="s">
        <v>499</v>
      </c>
    </row>
    <row r="121" spans="1:12" ht="69.95" customHeight="1">
      <c r="A121" s="3" t="s">
        <v>239</v>
      </c>
      <c r="B121" s="4"/>
      <c r="C121" s="4" t="s">
        <v>502</v>
      </c>
      <c r="D121" s="4"/>
      <c r="E121" s="4" t="s">
        <v>497</v>
      </c>
      <c r="F121" s="4" t="s">
        <v>497</v>
      </c>
      <c r="G121" s="4" t="s">
        <v>497</v>
      </c>
      <c r="H121" s="4"/>
      <c r="I121" s="4">
        <v>21500</v>
      </c>
      <c r="J121" s="4">
        <v>58</v>
      </c>
      <c r="K121" s="4" t="s">
        <v>498</v>
      </c>
      <c r="L121" s="4" t="s">
        <v>499</v>
      </c>
    </row>
    <row r="122" spans="1:12" ht="69.95" customHeight="1">
      <c r="A122" s="3" t="s">
        <v>241</v>
      </c>
      <c r="B122" s="4"/>
      <c r="C122" s="4" t="s">
        <v>502</v>
      </c>
      <c r="D122" s="4"/>
      <c r="E122" s="4"/>
      <c r="F122" s="4"/>
      <c r="G122" s="4"/>
      <c r="H122" s="4"/>
      <c r="I122" s="4"/>
      <c r="J122" s="4"/>
      <c r="K122" s="4" t="s">
        <v>502</v>
      </c>
      <c r="L122" s="4" t="s">
        <v>569</v>
      </c>
    </row>
    <row r="123" spans="1:12" ht="69.95" customHeight="1">
      <c r="A123" s="3" t="s">
        <v>242</v>
      </c>
      <c r="B123" s="4"/>
      <c r="C123" s="4" t="s">
        <v>502</v>
      </c>
      <c r="D123" s="4"/>
      <c r="E123" s="4" t="s">
        <v>497</v>
      </c>
      <c r="F123" s="4" t="s">
        <v>497</v>
      </c>
      <c r="G123" s="4" t="s">
        <v>497</v>
      </c>
      <c r="H123" s="4"/>
      <c r="I123" s="4">
        <v>21000</v>
      </c>
      <c r="J123" s="4">
        <v>55.6</v>
      </c>
      <c r="K123" s="4" t="s">
        <v>498</v>
      </c>
      <c r="L123" s="4" t="s">
        <v>499</v>
      </c>
    </row>
    <row r="124" spans="1:12" ht="69.95" customHeight="1">
      <c r="A124" s="3" t="s">
        <v>244</v>
      </c>
      <c r="B124" s="4"/>
      <c r="C124" s="4" t="s">
        <v>502</v>
      </c>
      <c r="D124" s="4"/>
      <c r="E124" s="4" t="s">
        <v>597</v>
      </c>
      <c r="F124" s="4" t="s">
        <v>597</v>
      </c>
      <c r="G124" s="4" t="s">
        <v>597</v>
      </c>
      <c r="H124" s="4"/>
      <c r="I124" s="4"/>
      <c r="J124" s="4"/>
      <c r="K124" s="4" t="s">
        <v>509</v>
      </c>
      <c r="L124" s="4" t="s">
        <v>510</v>
      </c>
    </row>
    <row r="125" spans="1:12" ht="69.95" customHeight="1">
      <c r="A125" s="3" t="s">
        <v>246</v>
      </c>
      <c r="B125" s="4"/>
      <c r="C125" s="4" t="s">
        <v>502</v>
      </c>
      <c r="D125" s="4"/>
      <c r="E125" s="4" t="s">
        <v>497</v>
      </c>
      <c r="F125" s="4" t="s">
        <v>497</v>
      </c>
      <c r="G125" s="4" t="s">
        <v>497</v>
      </c>
      <c r="H125" s="4"/>
      <c r="I125" s="4">
        <v>6000</v>
      </c>
      <c r="J125" s="4">
        <v>30.7</v>
      </c>
      <c r="K125" s="4" t="s">
        <v>498</v>
      </c>
      <c r="L125" s="4" t="s">
        <v>499</v>
      </c>
    </row>
    <row r="126" spans="1:12" ht="69.95" customHeight="1">
      <c r="A126" s="3" t="s">
        <v>248</v>
      </c>
      <c r="B126" s="4"/>
      <c r="C126" s="4" t="s">
        <v>502</v>
      </c>
      <c r="D126" s="4"/>
      <c r="E126" s="4" t="s">
        <v>497</v>
      </c>
      <c r="F126" s="4" t="s">
        <v>497</v>
      </c>
      <c r="G126" s="4" t="s">
        <v>497</v>
      </c>
      <c r="H126" s="4"/>
      <c r="I126" s="4">
        <v>5990</v>
      </c>
      <c r="J126" s="4">
        <v>43.3</v>
      </c>
      <c r="K126" s="4" t="s">
        <v>498</v>
      </c>
      <c r="L126" s="4" t="s">
        <v>503</v>
      </c>
    </row>
    <row r="127" spans="1:12" ht="69.95" customHeight="1">
      <c r="A127" s="3" t="s">
        <v>250</v>
      </c>
      <c r="B127" s="4"/>
      <c r="C127" s="4" t="s">
        <v>502</v>
      </c>
      <c r="D127" s="4"/>
      <c r="E127" s="4" t="s">
        <v>497</v>
      </c>
      <c r="F127" s="4" t="s">
        <v>497</v>
      </c>
      <c r="G127" s="4" t="s">
        <v>497</v>
      </c>
      <c r="H127" s="4"/>
      <c r="I127" s="4">
        <v>41005</v>
      </c>
      <c r="J127" s="4">
        <v>74.400000000000006</v>
      </c>
      <c r="K127" s="4" t="s">
        <v>498</v>
      </c>
      <c r="L127" s="4" t="s">
        <v>503</v>
      </c>
    </row>
    <row r="128" spans="1:12" ht="69.95" customHeight="1">
      <c r="A128" s="3" t="s">
        <v>252</v>
      </c>
      <c r="B128" s="4"/>
      <c r="C128" s="4" t="s">
        <v>502</v>
      </c>
      <c r="D128" s="4"/>
      <c r="E128" s="4"/>
      <c r="F128" s="4"/>
      <c r="G128" s="4"/>
      <c r="H128" s="4"/>
      <c r="I128" s="4"/>
      <c r="J128" s="4"/>
      <c r="K128" s="4" t="s">
        <v>502</v>
      </c>
      <c r="L128" s="4" t="s">
        <v>598</v>
      </c>
    </row>
    <row r="129" spans="1:12" ht="69.95" customHeight="1">
      <c r="A129" s="3" t="s">
        <v>253</v>
      </c>
      <c r="B129" s="4"/>
      <c r="C129" s="4" t="s">
        <v>502</v>
      </c>
      <c r="D129" s="4"/>
      <c r="E129" s="4" t="s">
        <v>497</v>
      </c>
      <c r="F129" s="4" t="s">
        <v>497</v>
      </c>
      <c r="G129" s="4" t="s">
        <v>497</v>
      </c>
      <c r="H129" s="4"/>
      <c r="I129" s="4">
        <v>10582</v>
      </c>
      <c r="J129" s="4">
        <v>42.1</v>
      </c>
      <c r="K129" s="4" t="s">
        <v>498</v>
      </c>
      <c r="L129" s="4" t="s">
        <v>499</v>
      </c>
    </row>
    <row r="130" spans="1:12" ht="69.95" customHeight="1">
      <c r="A130" s="3" t="s">
        <v>255</v>
      </c>
      <c r="B130" s="4"/>
      <c r="C130" s="4" t="s">
        <v>502</v>
      </c>
      <c r="D130" s="4"/>
      <c r="E130" s="4" t="s">
        <v>497</v>
      </c>
      <c r="F130" s="4" t="s">
        <v>497</v>
      </c>
      <c r="G130" s="4" t="s">
        <v>497</v>
      </c>
      <c r="H130" s="4"/>
      <c r="I130" s="4">
        <v>3935</v>
      </c>
      <c r="J130" s="4">
        <v>28.1</v>
      </c>
      <c r="K130" s="4" t="s">
        <v>498</v>
      </c>
      <c r="L130" s="4" t="s">
        <v>503</v>
      </c>
    </row>
    <row r="131" spans="1:12" ht="69.95" customHeight="1">
      <c r="A131" s="3" t="s">
        <v>257</v>
      </c>
      <c r="B131" s="4"/>
      <c r="C131" s="4" t="s">
        <v>502</v>
      </c>
      <c r="D131" s="4"/>
      <c r="E131" s="4" t="s">
        <v>497</v>
      </c>
      <c r="F131" s="4" t="s">
        <v>497</v>
      </c>
      <c r="G131" s="4" t="s">
        <v>497</v>
      </c>
      <c r="H131" s="4"/>
      <c r="I131" s="4">
        <v>15999</v>
      </c>
      <c r="J131" s="4">
        <v>59.4</v>
      </c>
      <c r="K131" s="4" t="s">
        <v>498</v>
      </c>
      <c r="L131" s="4" t="s">
        <v>503</v>
      </c>
    </row>
    <row r="132" spans="1:12" ht="69.95" customHeight="1">
      <c r="A132" s="3" t="s">
        <v>259</v>
      </c>
      <c r="B132" s="4"/>
      <c r="C132" s="4" t="s">
        <v>502</v>
      </c>
      <c r="D132" s="4"/>
      <c r="E132" s="4" t="s">
        <v>497</v>
      </c>
      <c r="F132" s="4" t="s">
        <v>497</v>
      </c>
      <c r="G132" s="4" t="s">
        <v>497</v>
      </c>
      <c r="H132" s="4"/>
      <c r="I132" s="4">
        <v>585000</v>
      </c>
      <c r="J132" s="4">
        <v>174</v>
      </c>
      <c r="K132" s="4" t="s">
        <v>498</v>
      </c>
      <c r="L132" s="4" t="s">
        <v>503</v>
      </c>
    </row>
    <row r="133" spans="1:12" ht="69.95" customHeight="1">
      <c r="A133" s="3" t="s">
        <v>261</v>
      </c>
      <c r="B133" s="4"/>
      <c r="C133" s="4" t="s">
        <v>502</v>
      </c>
      <c r="D133" s="4"/>
      <c r="E133" s="4" t="s">
        <v>497</v>
      </c>
      <c r="F133" s="4" t="s">
        <v>497</v>
      </c>
      <c r="G133" s="4" t="s">
        <v>497</v>
      </c>
      <c r="H133" s="4"/>
      <c r="I133" s="4">
        <v>23500</v>
      </c>
      <c r="J133" s="4">
        <v>55.6</v>
      </c>
      <c r="K133" s="4" t="s">
        <v>498</v>
      </c>
      <c r="L133" s="4" t="s">
        <v>503</v>
      </c>
    </row>
    <row r="134" spans="1:12" ht="69.95" customHeight="1">
      <c r="A134" s="3" t="s">
        <v>263</v>
      </c>
      <c r="B134" s="4" t="s">
        <v>599</v>
      </c>
      <c r="C134" s="4" t="s">
        <v>495</v>
      </c>
      <c r="D134" s="4" t="s">
        <v>600</v>
      </c>
      <c r="E134" s="4" t="s">
        <v>497</v>
      </c>
      <c r="F134" s="4" t="s">
        <v>497</v>
      </c>
      <c r="G134" s="4" t="s">
        <v>497</v>
      </c>
      <c r="H134" s="4" t="s">
        <v>600</v>
      </c>
      <c r="I134" s="4">
        <v>15100</v>
      </c>
      <c r="J134" s="4">
        <v>47.3</v>
      </c>
      <c r="K134" s="4" t="s">
        <v>498</v>
      </c>
      <c r="L134" s="4" t="s">
        <v>563</v>
      </c>
    </row>
    <row r="135" spans="1:12" ht="69.95" customHeight="1">
      <c r="A135" s="3" t="s">
        <v>265</v>
      </c>
      <c r="B135" s="4"/>
      <c r="C135" s="4" t="s">
        <v>502</v>
      </c>
      <c r="D135" s="4"/>
      <c r="E135" s="4" t="s">
        <v>601</v>
      </c>
      <c r="F135" s="4" t="s">
        <v>601</v>
      </c>
      <c r="G135" s="4" t="s">
        <v>601</v>
      </c>
      <c r="H135" s="4"/>
      <c r="I135" s="4"/>
      <c r="J135" s="4"/>
      <c r="K135" s="4" t="s">
        <v>545</v>
      </c>
      <c r="L135" s="4"/>
    </row>
    <row r="136" spans="1:12" ht="69.95" customHeight="1">
      <c r="A136" s="3" t="s">
        <v>267</v>
      </c>
      <c r="B136" s="4"/>
      <c r="C136" s="4" t="s">
        <v>502</v>
      </c>
      <c r="D136" s="4"/>
      <c r="E136" s="4" t="s">
        <v>497</v>
      </c>
      <c r="F136" s="4" t="s">
        <v>497</v>
      </c>
      <c r="G136" s="4" t="s">
        <v>497</v>
      </c>
      <c r="H136" s="4"/>
      <c r="I136" s="4">
        <v>10485</v>
      </c>
      <c r="J136" s="4">
        <v>35.5</v>
      </c>
      <c r="K136" s="4" t="s">
        <v>498</v>
      </c>
      <c r="L136" s="4" t="s">
        <v>503</v>
      </c>
    </row>
    <row r="137" spans="1:12" ht="69.95" customHeight="1">
      <c r="A137" s="3" t="s">
        <v>269</v>
      </c>
      <c r="B137" s="4"/>
      <c r="C137" s="4" t="s">
        <v>502</v>
      </c>
      <c r="D137" s="4"/>
      <c r="E137" s="4" t="s">
        <v>497</v>
      </c>
      <c r="F137" s="4" t="s">
        <v>497</v>
      </c>
      <c r="G137" s="4" t="s">
        <v>497</v>
      </c>
      <c r="H137" s="4"/>
      <c r="I137" s="4">
        <v>2126</v>
      </c>
      <c r="J137" s="4">
        <v>26</v>
      </c>
      <c r="K137" s="4" t="s">
        <v>498</v>
      </c>
      <c r="L137" s="4" t="s">
        <v>503</v>
      </c>
    </row>
    <row r="138" spans="1:12" ht="69.95" customHeight="1">
      <c r="A138" s="3" t="s">
        <v>271</v>
      </c>
      <c r="B138" s="4"/>
      <c r="C138" s="4" t="s">
        <v>602</v>
      </c>
      <c r="D138" s="4"/>
      <c r="E138" s="4" t="s">
        <v>603</v>
      </c>
      <c r="F138" s="4" t="s">
        <v>603</v>
      </c>
      <c r="G138" s="4" t="s">
        <v>603</v>
      </c>
      <c r="H138" s="4"/>
      <c r="I138" s="4"/>
      <c r="J138" s="4"/>
      <c r="K138" s="4" t="s">
        <v>604</v>
      </c>
      <c r="L138" s="4" t="s">
        <v>605</v>
      </c>
    </row>
    <row r="139" spans="1:12" ht="69.95" customHeight="1">
      <c r="A139" s="3" t="s">
        <v>273</v>
      </c>
      <c r="B139" s="4"/>
      <c r="C139" s="4" t="s">
        <v>502</v>
      </c>
      <c r="D139" s="4"/>
      <c r="E139" s="4" t="s">
        <v>497</v>
      </c>
      <c r="F139" s="4" t="s">
        <v>497</v>
      </c>
      <c r="G139" s="4" t="s">
        <v>497</v>
      </c>
      <c r="H139" s="4"/>
      <c r="I139" s="4">
        <v>139500</v>
      </c>
      <c r="J139" s="4">
        <v>109.6</v>
      </c>
      <c r="K139" s="4" t="s">
        <v>498</v>
      </c>
      <c r="L139" s="4" t="s">
        <v>499</v>
      </c>
    </row>
    <row r="140" spans="1:12" ht="69.95" customHeight="1">
      <c r="A140" s="3" t="s">
        <v>275</v>
      </c>
      <c r="B140" s="4"/>
      <c r="C140" s="4" t="s">
        <v>502</v>
      </c>
      <c r="D140" s="4"/>
      <c r="E140" s="4" t="s">
        <v>497</v>
      </c>
      <c r="F140" s="4" t="s">
        <v>497</v>
      </c>
      <c r="G140" s="4" t="s">
        <v>497</v>
      </c>
      <c r="H140" s="4"/>
      <c r="I140" s="4">
        <v>3600</v>
      </c>
      <c r="J140" s="4">
        <v>26</v>
      </c>
      <c r="K140" s="4" t="s">
        <v>498</v>
      </c>
      <c r="L140" s="4" t="s">
        <v>503</v>
      </c>
    </row>
    <row r="141" spans="1:12" ht="69.95" customHeight="1">
      <c r="A141" s="3" t="s">
        <v>277</v>
      </c>
      <c r="B141" s="4"/>
      <c r="C141" s="4" t="s">
        <v>502</v>
      </c>
      <c r="D141" s="4"/>
      <c r="E141" s="4" t="s">
        <v>497</v>
      </c>
      <c r="F141" s="4" t="s">
        <v>497</v>
      </c>
      <c r="G141" s="4" t="s">
        <v>497</v>
      </c>
      <c r="H141" s="4"/>
      <c r="I141" s="4">
        <v>9039</v>
      </c>
      <c r="J141" s="4">
        <v>41.1</v>
      </c>
      <c r="K141" s="4" t="s">
        <v>498</v>
      </c>
      <c r="L141" s="4" t="s">
        <v>499</v>
      </c>
    </row>
    <row r="142" spans="1:12" ht="69.95" customHeight="1">
      <c r="A142" s="3" t="s">
        <v>279</v>
      </c>
      <c r="B142" s="4" t="s">
        <v>606</v>
      </c>
      <c r="C142" s="4" t="s">
        <v>560</v>
      </c>
      <c r="D142" s="4" t="s">
        <v>561</v>
      </c>
      <c r="E142" s="4" t="s">
        <v>497</v>
      </c>
      <c r="F142" s="4" t="s">
        <v>497</v>
      </c>
      <c r="G142" s="4" t="s">
        <v>497</v>
      </c>
      <c r="H142" s="4"/>
      <c r="I142" s="4">
        <v>34500</v>
      </c>
      <c r="J142" s="4">
        <v>73</v>
      </c>
      <c r="K142" s="4" t="s">
        <v>498</v>
      </c>
      <c r="L142" s="4" t="s">
        <v>499</v>
      </c>
    </row>
    <row r="143" spans="1:12" ht="69.95" customHeight="1">
      <c r="A143" s="3" t="s">
        <v>281</v>
      </c>
      <c r="B143" s="4"/>
      <c r="C143" s="4" t="s">
        <v>502</v>
      </c>
      <c r="D143" s="4"/>
      <c r="E143" s="4" t="s">
        <v>497</v>
      </c>
      <c r="F143" s="4" t="s">
        <v>497</v>
      </c>
      <c r="G143" s="4" t="s">
        <v>497</v>
      </c>
      <c r="H143" s="4"/>
      <c r="I143" s="4">
        <v>36825</v>
      </c>
      <c r="J143" s="4">
        <v>74.400000000000006</v>
      </c>
      <c r="K143" s="4" t="s">
        <v>498</v>
      </c>
      <c r="L143" s="4" t="s">
        <v>503</v>
      </c>
    </row>
    <row r="144" spans="1:12" ht="69.95" customHeight="1">
      <c r="A144" s="3" t="s">
        <v>283</v>
      </c>
      <c r="B144" s="4"/>
      <c r="C144" s="4" t="s">
        <v>502</v>
      </c>
      <c r="D144" s="4"/>
      <c r="E144" s="4" t="s">
        <v>497</v>
      </c>
      <c r="F144" s="4" t="s">
        <v>497</v>
      </c>
      <c r="G144" s="4" t="s">
        <v>497</v>
      </c>
      <c r="H144" s="4"/>
      <c r="I144" s="4">
        <v>544542</v>
      </c>
      <c r="J144" s="4">
        <v>193</v>
      </c>
      <c r="K144" s="4" t="s">
        <v>498</v>
      </c>
      <c r="L144" s="4" t="s">
        <v>503</v>
      </c>
    </row>
    <row r="145" spans="1:12" ht="69.95" customHeight="1">
      <c r="A145" s="3" t="s">
        <v>285</v>
      </c>
      <c r="B145" s="4" t="s">
        <v>286</v>
      </c>
      <c r="C145" s="4" t="s">
        <v>543</v>
      </c>
      <c r="D145" s="4" t="s">
        <v>607</v>
      </c>
      <c r="E145" s="4" t="s">
        <v>607</v>
      </c>
      <c r="F145" s="4" t="s">
        <v>607</v>
      </c>
      <c r="G145" s="4" t="s">
        <v>497</v>
      </c>
      <c r="H145" s="4"/>
      <c r="I145" s="4"/>
      <c r="J145" s="4"/>
      <c r="K145" s="4" t="s">
        <v>545</v>
      </c>
      <c r="L145" s="4" t="s">
        <v>608</v>
      </c>
    </row>
    <row r="146" spans="1:12" ht="69.95" customHeight="1">
      <c r="A146" s="3" t="s">
        <v>287</v>
      </c>
      <c r="B146" s="4"/>
      <c r="C146" s="4" t="s">
        <v>502</v>
      </c>
      <c r="D146" s="4"/>
      <c r="E146" s="4" t="s">
        <v>609</v>
      </c>
      <c r="F146" s="4" t="s">
        <v>609</v>
      </c>
      <c r="G146" s="4" t="s">
        <v>609</v>
      </c>
      <c r="H146" s="4"/>
      <c r="I146" s="4"/>
      <c r="J146" s="4"/>
      <c r="K146" s="4" t="s">
        <v>509</v>
      </c>
      <c r="L146" s="4" t="s">
        <v>510</v>
      </c>
    </row>
    <row r="147" spans="1:12" ht="69.95" customHeight="1">
      <c r="A147" s="3" t="s">
        <v>289</v>
      </c>
      <c r="B147" s="4"/>
      <c r="C147" s="4" t="s">
        <v>502</v>
      </c>
      <c r="D147" s="4"/>
      <c r="E147" s="4" t="s">
        <v>497</v>
      </c>
      <c r="F147" s="4" t="s">
        <v>497</v>
      </c>
      <c r="G147" s="4" t="s">
        <v>497</v>
      </c>
      <c r="H147" s="4"/>
      <c r="I147" s="4">
        <v>39700</v>
      </c>
      <c r="J147" s="4">
        <v>60.8</v>
      </c>
      <c r="K147" s="4" t="s">
        <v>498</v>
      </c>
      <c r="L147" s="4" t="s">
        <v>499</v>
      </c>
    </row>
    <row r="148" spans="1:12" ht="69.95" customHeight="1">
      <c r="A148" s="3" t="s">
        <v>291</v>
      </c>
      <c r="B148" s="4"/>
      <c r="C148" s="4" t="s">
        <v>502</v>
      </c>
      <c r="D148" s="4"/>
      <c r="E148" s="4" t="s">
        <v>497</v>
      </c>
      <c r="F148" s="4" t="s">
        <v>497</v>
      </c>
      <c r="G148" s="4" t="s">
        <v>497</v>
      </c>
      <c r="H148" s="4"/>
      <c r="I148" s="4">
        <v>7394</v>
      </c>
      <c r="J148" s="4">
        <v>35.200000000000003</v>
      </c>
      <c r="K148" s="4" t="s">
        <v>498</v>
      </c>
      <c r="L148" s="4" t="s">
        <v>503</v>
      </c>
    </row>
    <row r="149" spans="1:12" ht="69.95" customHeight="1">
      <c r="A149" s="3" t="s">
        <v>293</v>
      </c>
      <c r="B149" s="4"/>
      <c r="C149" s="4" t="s">
        <v>502</v>
      </c>
      <c r="D149" s="4"/>
      <c r="E149" s="4" t="s">
        <v>497</v>
      </c>
      <c r="F149" s="4" t="s">
        <v>497</v>
      </c>
      <c r="G149" s="4" t="s">
        <v>497</v>
      </c>
      <c r="H149" s="4"/>
      <c r="I149" s="4">
        <v>374782</v>
      </c>
      <c r="J149" s="4">
        <v>152.9</v>
      </c>
      <c r="K149" s="4" t="s">
        <v>498</v>
      </c>
      <c r="L149" s="4" t="s">
        <v>503</v>
      </c>
    </row>
    <row r="150" spans="1:12" ht="69.95" customHeight="1">
      <c r="A150" s="3" t="s">
        <v>295</v>
      </c>
      <c r="B150" s="4"/>
      <c r="C150" s="4" t="s">
        <v>502</v>
      </c>
      <c r="D150" s="4"/>
      <c r="E150" s="4" t="s">
        <v>497</v>
      </c>
      <c r="F150" s="4" t="s">
        <v>497</v>
      </c>
      <c r="G150" s="4" t="s">
        <v>497</v>
      </c>
      <c r="H150" s="4"/>
      <c r="I150" s="4">
        <v>833000</v>
      </c>
      <c r="J150" s="4">
        <v>231.8</v>
      </c>
      <c r="K150" s="4" t="s">
        <v>498</v>
      </c>
      <c r="L150" s="4" t="s">
        <v>503</v>
      </c>
    </row>
    <row r="151" spans="1:12" ht="69.95" customHeight="1">
      <c r="A151" s="3" t="s">
        <v>297</v>
      </c>
      <c r="B151" s="4"/>
      <c r="C151" s="4" t="s">
        <v>502</v>
      </c>
      <c r="D151" s="4"/>
      <c r="E151" s="4" t="s">
        <v>497</v>
      </c>
      <c r="F151" s="4" t="s">
        <v>497</v>
      </c>
      <c r="G151" s="4" t="s">
        <v>497</v>
      </c>
      <c r="H151" s="4"/>
      <c r="I151" s="4">
        <v>310852</v>
      </c>
      <c r="J151" s="4">
        <v>148</v>
      </c>
      <c r="K151" s="4" t="s">
        <v>498</v>
      </c>
      <c r="L151" s="4" t="s">
        <v>503</v>
      </c>
    </row>
    <row r="152" spans="1:12" ht="69.95" customHeight="1">
      <c r="A152" s="3" t="s">
        <v>299</v>
      </c>
      <c r="B152" s="4"/>
      <c r="C152" s="4" t="s">
        <v>502</v>
      </c>
      <c r="D152" s="4"/>
      <c r="E152" s="4" t="s">
        <v>610</v>
      </c>
      <c r="F152" s="4" t="s">
        <v>610</v>
      </c>
      <c r="G152" s="4" t="s">
        <v>610</v>
      </c>
      <c r="H152" s="4"/>
      <c r="I152" s="4"/>
      <c r="J152" s="4"/>
      <c r="K152" s="4" t="s">
        <v>509</v>
      </c>
      <c r="L152" s="4" t="s">
        <v>510</v>
      </c>
    </row>
    <row r="153" spans="1:12" ht="69.95" customHeight="1">
      <c r="A153" s="3" t="s">
        <v>301</v>
      </c>
      <c r="B153" s="4"/>
      <c r="C153" s="4" t="s">
        <v>502</v>
      </c>
      <c r="D153" s="4"/>
      <c r="E153" s="4" t="s">
        <v>497</v>
      </c>
      <c r="F153" s="4" t="s">
        <v>497</v>
      </c>
      <c r="G153" s="4" t="s">
        <v>497</v>
      </c>
      <c r="H153" s="4"/>
      <c r="I153" s="4">
        <v>18740</v>
      </c>
      <c r="J153" s="4">
        <v>45.5</v>
      </c>
      <c r="K153" s="4" t="s">
        <v>498</v>
      </c>
      <c r="L153" s="4" t="s">
        <v>503</v>
      </c>
    </row>
    <row r="154" spans="1:12" ht="69.95" customHeight="1">
      <c r="A154" s="3" t="s">
        <v>303</v>
      </c>
      <c r="B154" s="4"/>
      <c r="C154" s="4" t="s">
        <v>502</v>
      </c>
      <c r="D154" s="4"/>
      <c r="E154" s="4" t="s">
        <v>611</v>
      </c>
      <c r="F154" s="4" t="s">
        <v>611</v>
      </c>
      <c r="G154" s="4" t="s">
        <v>611</v>
      </c>
      <c r="H154" s="4"/>
      <c r="I154" s="4"/>
      <c r="J154" s="4"/>
      <c r="K154" s="4" t="s">
        <v>545</v>
      </c>
      <c r="L154" s="4" t="s">
        <v>612</v>
      </c>
    </row>
    <row r="155" spans="1:12" ht="69.95" customHeight="1">
      <c r="A155" s="3" t="s">
        <v>305</v>
      </c>
      <c r="B155" s="4"/>
      <c r="C155" s="4" t="s">
        <v>502</v>
      </c>
      <c r="D155" s="4"/>
      <c r="E155" s="4" t="s">
        <v>497</v>
      </c>
      <c r="F155" s="4" t="s">
        <v>497</v>
      </c>
      <c r="G155" s="4" t="s">
        <v>497</v>
      </c>
      <c r="H155" s="4"/>
      <c r="I155" s="4">
        <v>7450</v>
      </c>
      <c r="J155" s="4">
        <v>36.4</v>
      </c>
      <c r="K155" s="4" t="s">
        <v>498</v>
      </c>
      <c r="L155" s="4" t="s">
        <v>503</v>
      </c>
    </row>
    <row r="156" spans="1:12" ht="69.95" customHeight="1">
      <c r="A156" s="3" t="s">
        <v>307</v>
      </c>
      <c r="B156" s="4"/>
      <c r="C156" s="4" t="s">
        <v>502</v>
      </c>
      <c r="D156" s="4"/>
      <c r="E156" s="4" t="s">
        <v>613</v>
      </c>
      <c r="F156" s="4" t="s">
        <v>613</v>
      </c>
      <c r="G156" s="4" t="s">
        <v>613</v>
      </c>
      <c r="H156" s="4"/>
      <c r="I156" s="4"/>
      <c r="J156" s="4"/>
      <c r="K156" s="4" t="s">
        <v>545</v>
      </c>
      <c r="L156" s="4"/>
    </row>
    <row r="157" spans="1:12" ht="69.95" customHeight="1">
      <c r="A157" s="3" t="s">
        <v>309</v>
      </c>
      <c r="B157" s="4"/>
      <c r="C157" s="4" t="s">
        <v>502</v>
      </c>
      <c r="D157" s="4"/>
      <c r="E157" s="4" t="s">
        <v>497</v>
      </c>
      <c r="F157" s="4" t="s">
        <v>497</v>
      </c>
      <c r="G157" s="4" t="s">
        <v>497</v>
      </c>
      <c r="H157" s="4"/>
      <c r="I157" s="4">
        <v>6775</v>
      </c>
      <c r="J157" s="4">
        <v>33.799999999999997</v>
      </c>
      <c r="K157" s="4" t="s">
        <v>498</v>
      </c>
      <c r="L157" s="4" t="s">
        <v>503</v>
      </c>
    </row>
    <row r="158" spans="1:12" ht="69.95" customHeight="1">
      <c r="A158" s="3" t="s">
        <v>311</v>
      </c>
      <c r="B158" s="4"/>
      <c r="C158" s="4" t="s">
        <v>502</v>
      </c>
      <c r="D158" s="4"/>
      <c r="E158" s="4" t="s">
        <v>497</v>
      </c>
      <c r="F158" s="4" t="s">
        <v>497</v>
      </c>
      <c r="G158" s="4" t="s">
        <v>497</v>
      </c>
      <c r="H158" s="4"/>
      <c r="I158" s="4">
        <v>2888</v>
      </c>
      <c r="J158" s="4">
        <v>26.3</v>
      </c>
      <c r="K158" s="4" t="s">
        <v>498</v>
      </c>
      <c r="L158" s="4" t="s">
        <v>503</v>
      </c>
    </row>
    <row r="159" spans="1:12" ht="69.95" customHeight="1">
      <c r="A159" s="3" t="s">
        <v>313</v>
      </c>
      <c r="B159" s="4"/>
      <c r="C159" s="4" t="s">
        <v>502</v>
      </c>
      <c r="D159" s="4"/>
      <c r="E159" s="4" t="s">
        <v>497</v>
      </c>
      <c r="F159" s="4" t="s">
        <v>497</v>
      </c>
      <c r="G159" s="4" t="s">
        <v>497</v>
      </c>
      <c r="H159" s="4"/>
      <c r="I159" s="4">
        <v>2358</v>
      </c>
      <c r="J159" s="4">
        <v>26</v>
      </c>
      <c r="K159" s="4" t="s">
        <v>498</v>
      </c>
      <c r="L159" s="4" t="s">
        <v>503</v>
      </c>
    </row>
    <row r="160" spans="1:12" ht="69.95" customHeight="1">
      <c r="A160" s="3" t="s">
        <v>315</v>
      </c>
      <c r="B160" s="4"/>
      <c r="C160" s="4" t="s">
        <v>502</v>
      </c>
      <c r="D160" s="4"/>
      <c r="E160" s="4" t="s">
        <v>497</v>
      </c>
      <c r="F160" s="4" t="s">
        <v>497</v>
      </c>
      <c r="G160" s="4" t="s">
        <v>497</v>
      </c>
      <c r="H160" s="4"/>
      <c r="I160" s="4">
        <v>9474</v>
      </c>
      <c r="J160" s="4">
        <v>34.700000000000003</v>
      </c>
      <c r="K160" s="4" t="s">
        <v>498</v>
      </c>
      <c r="L160" s="4" t="s">
        <v>503</v>
      </c>
    </row>
    <row r="161" spans="1:12" ht="69.95" customHeight="1">
      <c r="A161" s="3" t="s">
        <v>317</v>
      </c>
      <c r="B161" s="4"/>
      <c r="C161" s="4" t="s">
        <v>602</v>
      </c>
      <c r="D161" s="4"/>
      <c r="E161" s="4" t="s">
        <v>614</v>
      </c>
      <c r="F161" s="4" t="s">
        <v>614</v>
      </c>
      <c r="G161" s="4" t="s">
        <v>614</v>
      </c>
      <c r="H161" s="4"/>
      <c r="I161" s="4"/>
      <c r="J161" s="4"/>
      <c r="K161" s="4" t="s">
        <v>615</v>
      </c>
      <c r="L161" s="4" t="s">
        <v>510</v>
      </c>
    </row>
    <row r="162" spans="1:12" ht="69.95" customHeight="1">
      <c r="A162" s="3" t="s">
        <v>319</v>
      </c>
      <c r="B162" s="4"/>
      <c r="C162" s="4" t="s">
        <v>502</v>
      </c>
      <c r="D162" s="4"/>
      <c r="E162" s="4" t="s">
        <v>497</v>
      </c>
      <c r="F162" s="4" t="s">
        <v>497</v>
      </c>
      <c r="G162" s="4" t="s">
        <v>497</v>
      </c>
      <c r="H162" s="4"/>
      <c r="I162" s="4">
        <v>3400</v>
      </c>
      <c r="J162" s="4">
        <v>25.2</v>
      </c>
      <c r="K162" s="4" t="s">
        <v>498</v>
      </c>
      <c r="L162" s="4" t="s">
        <v>503</v>
      </c>
    </row>
    <row r="163" spans="1:12" ht="69.95" customHeight="1">
      <c r="A163" s="3" t="s">
        <v>321</v>
      </c>
      <c r="B163" s="4" t="s">
        <v>616</v>
      </c>
      <c r="C163" s="4" t="s">
        <v>560</v>
      </c>
      <c r="D163" s="4" t="s">
        <v>565</v>
      </c>
      <c r="E163" s="4" t="s">
        <v>497</v>
      </c>
      <c r="F163" s="4" t="s">
        <v>497</v>
      </c>
      <c r="G163" s="4" t="s">
        <v>497</v>
      </c>
      <c r="H163" s="4"/>
      <c r="I163" s="4">
        <v>606271</v>
      </c>
      <c r="J163" s="4">
        <v>195</v>
      </c>
      <c r="K163" s="4" t="s">
        <v>498</v>
      </c>
      <c r="L163" s="4" t="s">
        <v>503</v>
      </c>
    </row>
    <row r="164" spans="1:12" ht="69.95" customHeight="1">
      <c r="A164" s="3" t="s">
        <v>323</v>
      </c>
      <c r="B164" s="4"/>
      <c r="C164" s="4" t="s">
        <v>502</v>
      </c>
      <c r="D164" s="4"/>
      <c r="E164" s="4"/>
      <c r="F164" s="4"/>
      <c r="G164" s="4"/>
      <c r="H164" s="4"/>
      <c r="I164" s="4"/>
      <c r="J164" s="4"/>
      <c r="K164" s="4" t="s">
        <v>502</v>
      </c>
      <c r="L164" s="4" t="s">
        <v>569</v>
      </c>
    </row>
    <row r="165" spans="1:12" ht="69.95" customHeight="1">
      <c r="A165" s="3" t="s">
        <v>324</v>
      </c>
      <c r="B165" s="4"/>
      <c r="C165" s="4" t="s">
        <v>502</v>
      </c>
      <c r="D165" s="4"/>
      <c r="E165" s="4" t="s">
        <v>497</v>
      </c>
      <c r="F165" s="4" t="s">
        <v>497</v>
      </c>
      <c r="G165" s="4" t="s">
        <v>497</v>
      </c>
      <c r="H165" s="4"/>
      <c r="I165" s="4">
        <v>4750</v>
      </c>
      <c r="J165" s="4">
        <v>28.6</v>
      </c>
      <c r="K165" s="4" t="s">
        <v>498</v>
      </c>
      <c r="L165" s="4" t="s">
        <v>503</v>
      </c>
    </row>
    <row r="166" spans="1:12" ht="69.95" customHeight="1">
      <c r="A166" s="3" t="s">
        <v>326</v>
      </c>
      <c r="B166" s="4"/>
      <c r="C166" s="4" t="s">
        <v>502</v>
      </c>
      <c r="D166" s="4"/>
      <c r="E166" s="4" t="s">
        <v>497</v>
      </c>
      <c r="F166" s="4" t="s">
        <v>497</v>
      </c>
      <c r="G166" s="4" t="s">
        <v>497</v>
      </c>
      <c r="H166" s="4"/>
      <c r="I166" s="4">
        <v>160000</v>
      </c>
      <c r="J166" s="4">
        <v>147.80000000000001</v>
      </c>
      <c r="K166" s="4" t="s">
        <v>498</v>
      </c>
      <c r="L166" s="4" t="s">
        <v>503</v>
      </c>
    </row>
    <row r="167" spans="1:12" ht="69.95" customHeight="1">
      <c r="A167" s="3" t="s">
        <v>328</v>
      </c>
      <c r="B167" s="4"/>
      <c r="C167" s="4" t="s">
        <v>502</v>
      </c>
      <c r="D167" s="4"/>
      <c r="E167" s="4" t="s">
        <v>497</v>
      </c>
      <c r="F167" s="4" t="s">
        <v>497</v>
      </c>
      <c r="G167" s="4" t="s">
        <v>497</v>
      </c>
      <c r="H167" s="4"/>
      <c r="I167" s="4">
        <v>101148</v>
      </c>
      <c r="J167" s="4">
        <v>98.2</v>
      </c>
      <c r="K167" s="4" t="s">
        <v>498</v>
      </c>
      <c r="L167" s="4" t="s">
        <v>503</v>
      </c>
    </row>
    <row r="168" spans="1:12" ht="69.95" customHeight="1">
      <c r="A168" s="3" t="s">
        <v>330</v>
      </c>
      <c r="B168" s="4"/>
      <c r="C168" s="4" t="s">
        <v>502</v>
      </c>
      <c r="D168" s="4"/>
      <c r="E168" s="4"/>
      <c r="F168" s="4"/>
      <c r="G168" s="4"/>
      <c r="H168" s="4"/>
      <c r="I168" s="4"/>
      <c r="J168" s="4"/>
      <c r="K168" s="4" t="s">
        <v>502</v>
      </c>
      <c r="L168" s="4" t="s">
        <v>569</v>
      </c>
    </row>
    <row r="169" spans="1:12" ht="69.95" customHeight="1">
      <c r="A169" s="3" t="s">
        <v>331</v>
      </c>
      <c r="B169" s="4"/>
      <c r="C169" s="4" t="s">
        <v>502</v>
      </c>
      <c r="D169" s="4"/>
      <c r="E169" s="4" t="s">
        <v>497</v>
      </c>
      <c r="F169" s="4" t="s">
        <v>497</v>
      </c>
      <c r="G169" s="4" t="s">
        <v>497</v>
      </c>
      <c r="H169" s="4"/>
      <c r="I169" s="4">
        <v>134482</v>
      </c>
      <c r="J169" s="4">
        <v>111.6</v>
      </c>
      <c r="K169" s="4" t="s">
        <v>498</v>
      </c>
      <c r="L169" s="4" t="s">
        <v>503</v>
      </c>
    </row>
    <row r="170" spans="1:12" ht="69.95" customHeight="1">
      <c r="A170" s="3" t="s">
        <v>333</v>
      </c>
      <c r="B170" s="4"/>
      <c r="C170" s="4" t="s">
        <v>502</v>
      </c>
      <c r="D170" s="4"/>
      <c r="E170" s="4" t="s">
        <v>497</v>
      </c>
      <c r="F170" s="4" t="s">
        <v>497</v>
      </c>
      <c r="G170" s="4" t="s">
        <v>497</v>
      </c>
      <c r="H170" s="4"/>
      <c r="I170" s="4">
        <v>9062</v>
      </c>
      <c r="J170" s="4">
        <v>37.6</v>
      </c>
      <c r="K170" s="4" t="s">
        <v>498</v>
      </c>
      <c r="L170" s="4" t="s">
        <v>503</v>
      </c>
    </row>
    <row r="171" spans="1:12" ht="69.95" customHeight="1">
      <c r="A171" s="3" t="s">
        <v>335</v>
      </c>
      <c r="B171" s="4"/>
      <c r="C171" s="4" t="s">
        <v>502</v>
      </c>
      <c r="D171" s="4"/>
      <c r="E171" s="4"/>
      <c r="F171" s="4"/>
      <c r="G171" s="4"/>
      <c r="H171" s="4"/>
      <c r="I171" s="4"/>
      <c r="J171" s="4"/>
      <c r="K171" s="4" t="s">
        <v>502</v>
      </c>
      <c r="L171" s="4" t="s">
        <v>569</v>
      </c>
    </row>
    <row r="172" spans="1:12" ht="69.95" customHeight="1">
      <c r="A172" s="3" t="s">
        <v>336</v>
      </c>
      <c r="B172" s="4"/>
      <c r="C172" s="4" t="s">
        <v>502</v>
      </c>
      <c r="D172" s="4"/>
      <c r="E172" s="4" t="s">
        <v>497</v>
      </c>
      <c r="F172" s="4" t="s">
        <v>497</v>
      </c>
      <c r="G172" s="4" t="s">
        <v>497</v>
      </c>
      <c r="H172" s="4"/>
      <c r="I172" s="4">
        <v>363760</v>
      </c>
      <c r="J172" s="4">
        <v>175.5</v>
      </c>
      <c r="K172" s="4" t="s">
        <v>498</v>
      </c>
      <c r="L172" s="4" t="s">
        <v>499</v>
      </c>
    </row>
    <row r="173" spans="1:12" ht="69.95" customHeight="1">
      <c r="A173" s="3" t="s">
        <v>338</v>
      </c>
      <c r="B173" s="4"/>
      <c r="C173" s="4" t="s">
        <v>502</v>
      </c>
      <c r="D173" s="4"/>
      <c r="E173" s="4" t="s">
        <v>497</v>
      </c>
      <c r="F173" s="4" t="s">
        <v>497</v>
      </c>
      <c r="G173" s="4" t="s">
        <v>497</v>
      </c>
      <c r="H173" s="4"/>
      <c r="I173" s="4">
        <v>35724</v>
      </c>
      <c r="J173" s="4">
        <v>64.599999999999994</v>
      </c>
      <c r="K173" s="4" t="s">
        <v>498</v>
      </c>
      <c r="L173" s="4" t="s">
        <v>499</v>
      </c>
    </row>
    <row r="174" spans="1:12" ht="69.95" customHeight="1">
      <c r="A174" s="3" t="s">
        <v>340</v>
      </c>
      <c r="B174" s="4"/>
      <c r="C174" s="4" t="s">
        <v>502</v>
      </c>
      <c r="D174" s="4"/>
      <c r="E174" s="4" t="s">
        <v>497</v>
      </c>
      <c r="F174" s="4" t="s">
        <v>497</v>
      </c>
      <c r="G174" s="4" t="s">
        <v>497</v>
      </c>
      <c r="H174" s="4"/>
      <c r="I174" s="4">
        <v>136000</v>
      </c>
      <c r="J174" s="4">
        <v>101.8</v>
      </c>
      <c r="K174" s="4" t="s">
        <v>498</v>
      </c>
      <c r="L174" s="4" t="s">
        <v>499</v>
      </c>
    </row>
    <row r="175" spans="1:12" ht="69.95" customHeight="1">
      <c r="A175" s="3" t="s">
        <v>342</v>
      </c>
      <c r="B175" s="4"/>
      <c r="C175" s="4" t="s">
        <v>502</v>
      </c>
      <c r="D175" s="4"/>
      <c r="E175" s="4" t="s">
        <v>617</v>
      </c>
      <c r="F175" s="4"/>
      <c r="G175" s="4" t="s">
        <v>617</v>
      </c>
      <c r="H175" s="4"/>
      <c r="I175" s="4"/>
      <c r="J175" s="4"/>
      <c r="K175" s="4" t="s">
        <v>509</v>
      </c>
      <c r="L175" s="4" t="s">
        <v>618</v>
      </c>
    </row>
    <row r="176" spans="1:12" ht="69.95" customHeight="1">
      <c r="A176" s="3" t="s">
        <v>344</v>
      </c>
      <c r="B176" s="4"/>
      <c r="C176" s="4" t="s">
        <v>502</v>
      </c>
      <c r="D176" s="4"/>
      <c r="E176" s="4" t="s">
        <v>497</v>
      </c>
      <c r="F176" s="4" t="s">
        <v>497</v>
      </c>
      <c r="G176" s="4" t="s">
        <v>497</v>
      </c>
      <c r="H176" s="4"/>
      <c r="I176" s="4">
        <v>5950</v>
      </c>
      <c r="J176" s="4">
        <v>33.1</v>
      </c>
      <c r="K176" s="4" t="s">
        <v>498</v>
      </c>
      <c r="L176" s="4" t="s">
        <v>499</v>
      </c>
    </row>
    <row r="177" spans="1:12" ht="69.95" customHeight="1">
      <c r="A177" s="3" t="s">
        <v>346</v>
      </c>
      <c r="B177" s="4"/>
      <c r="C177" s="4" t="s">
        <v>502</v>
      </c>
      <c r="D177" s="4"/>
      <c r="E177" s="4"/>
      <c r="F177" s="4"/>
      <c r="G177" s="4"/>
      <c r="H177" s="4"/>
      <c r="I177" s="4"/>
      <c r="J177" s="4"/>
      <c r="K177" s="4" t="s">
        <v>502</v>
      </c>
      <c r="L177" s="4" t="s">
        <v>569</v>
      </c>
    </row>
    <row r="178" spans="1:12" ht="69.95" customHeight="1">
      <c r="A178" s="3" t="s">
        <v>347</v>
      </c>
      <c r="B178" s="4"/>
      <c r="C178" s="4" t="s">
        <v>502</v>
      </c>
      <c r="D178" s="4"/>
      <c r="E178" s="4" t="s">
        <v>497</v>
      </c>
      <c r="F178" s="4" t="s">
        <v>497</v>
      </c>
      <c r="G178" s="4" t="s">
        <v>497</v>
      </c>
      <c r="H178" s="4"/>
      <c r="I178" s="4">
        <v>14800</v>
      </c>
      <c r="J178" s="4">
        <v>47.7</v>
      </c>
      <c r="K178" s="4" t="s">
        <v>498</v>
      </c>
      <c r="L178" s="4" t="s">
        <v>563</v>
      </c>
    </row>
    <row r="179" spans="1:12" ht="69.95" customHeight="1">
      <c r="A179" s="3" t="s">
        <v>349</v>
      </c>
      <c r="B179" s="4" t="s">
        <v>349</v>
      </c>
      <c r="C179" s="4" t="s">
        <v>560</v>
      </c>
      <c r="D179" s="4" t="s">
        <v>565</v>
      </c>
      <c r="E179" s="4" t="s">
        <v>565</v>
      </c>
      <c r="F179" s="4" t="s">
        <v>619</v>
      </c>
      <c r="G179" s="4" t="s">
        <v>619</v>
      </c>
      <c r="H179" s="4"/>
      <c r="I179" s="4"/>
      <c r="J179" s="4"/>
      <c r="K179" s="4" t="s">
        <v>509</v>
      </c>
      <c r="L179" s="4" t="s">
        <v>620</v>
      </c>
    </row>
    <row r="180" spans="1:12" ht="69.95" customHeight="1">
      <c r="A180" s="3" t="s">
        <v>351</v>
      </c>
      <c r="B180" s="4"/>
      <c r="C180" s="4" t="s">
        <v>502</v>
      </c>
      <c r="D180" s="4"/>
      <c r="E180" s="4" t="s">
        <v>621</v>
      </c>
      <c r="F180" s="4" t="s">
        <v>621</v>
      </c>
      <c r="G180" s="4" t="s">
        <v>621</v>
      </c>
      <c r="H180" s="4"/>
      <c r="I180" s="4"/>
      <c r="J180" s="4"/>
      <c r="K180" s="4" t="s">
        <v>509</v>
      </c>
      <c r="L180" s="4" t="s">
        <v>622</v>
      </c>
    </row>
    <row r="181" spans="1:12" ht="69.95" customHeight="1">
      <c r="A181" s="3" t="s">
        <v>353</v>
      </c>
      <c r="B181" s="4"/>
      <c r="C181" s="4" t="s">
        <v>502</v>
      </c>
      <c r="D181" s="4"/>
      <c r="E181" s="4" t="s">
        <v>497</v>
      </c>
      <c r="F181" s="4" t="s">
        <v>497</v>
      </c>
      <c r="G181" s="4" t="s">
        <v>497</v>
      </c>
      <c r="H181" s="4"/>
      <c r="I181" s="4">
        <v>5092</v>
      </c>
      <c r="J181" s="4">
        <v>29.6</v>
      </c>
      <c r="K181" s="4" t="s">
        <v>498</v>
      </c>
      <c r="L181" s="4" t="s">
        <v>503</v>
      </c>
    </row>
    <row r="182" spans="1:12" ht="69.95" customHeight="1">
      <c r="A182" s="3" t="s">
        <v>355</v>
      </c>
      <c r="B182" s="4"/>
      <c r="C182" s="4" t="s">
        <v>502</v>
      </c>
      <c r="D182" s="4"/>
      <c r="E182" s="4"/>
      <c r="F182" s="4"/>
      <c r="G182" s="4" t="s">
        <v>623</v>
      </c>
      <c r="H182" s="4"/>
      <c r="I182" s="4"/>
      <c r="J182" s="4"/>
      <c r="K182" s="4" t="s">
        <v>502</v>
      </c>
      <c r="L182" s="4" t="s">
        <v>624</v>
      </c>
    </row>
    <row r="183" spans="1:12" ht="69.95" customHeight="1">
      <c r="A183" s="3" t="s">
        <v>357</v>
      </c>
      <c r="B183" s="4" t="s">
        <v>625</v>
      </c>
      <c r="C183" s="4" t="s">
        <v>560</v>
      </c>
      <c r="D183" s="4" t="s">
        <v>561</v>
      </c>
      <c r="E183" s="4" t="s">
        <v>497</v>
      </c>
      <c r="F183" s="4" t="s">
        <v>497</v>
      </c>
      <c r="G183" s="4" t="s">
        <v>497</v>
      </c>
      <c r="H183" s="4"/>
      <c r="I183" s="4">
        <v>26433</v>
      </c>
      <c r="J183" s="4">
        <v>65.7</v>
      </c>
      <c r="K183" s="4" t="s">
        <v>498</v>
      </c>
      <c r="L183" s="4" t="s">
        <v>503</v>
      </c>
    </row>
    <row r="184" spans="1:12" ht="69.95" customHeight="1">
      <c r="A184" s="3" t="s">
        <v>359</v>
      </c>
      <c r="B184" s="4" t="s">
        <v>360</v>
      </c>
      <c r="C184" s="4" t="s">
        <v>495</v>
      </c>
      <c r="D184" s="4" t="s">
        <v>626</v>
      </c>
      <c r="E184" s="4" t="s">
        <v>497</v>
      </c>
      <c r="F184" s="4" t="s">
        <v>497</v>
      </c>
      <c r="G184" s="4" t="s">
        <v>497</v>
      </c>
      <c r="H184" s="4" t="s">
        <v>626</v>
      </c>
      <c r="I184" s="4">
        <v>660000</v>
      </c>
      <c r="J184" s="4">
        <v>209.1</v>
      </c>
      <c r="K184" s="4" t="s">
        <v>498</v>
      </c>
      <c r="L184" s="4" t="s">
        <v>499</v>
      </c>
    </row>
    <row r="185" spans="1:12" ht="69.95" customHeight="1">
      <c r="A185" s="3" t="s">
        <v>361</v>
      </c>
      <c r="B185" s="4"/>
      <c r="C185" s="4" t="s">
        <v>502</v>
      </c>
      <c r="D185" s="4"/>
      <c r="E185" s="4" t="s">
        <v>497</v>
      </c>
      <c r="F185" s="4" t="s">
        <v>497</v>
      </c>
      <c r="G185" s="4" t="s">
        <v>497</v>
      </c>
      <c r="H185" s="4"/>
      <c r="I185" s="4">
        <v>155000</v>
      </c>
      <c r="J185" s="4">
        <v>97.8</v>
      </c>
      <c r="K185" s="4" t="s">
        <v>498</v>
      </c>
      <c r="L185" s="4" t="s">
        <v>503</v>
      </c>
    </row>
    <row r="186" spans="1:12" ht="69.95" customHeight="1">
      <c r="A186" s="3" t="s">
        <v>363</v>
      </c>
      <c r="B186" s="4"/>
      <c r="C186" s="4" t="s">
        <v>502</v>
      </c>
      <c r="D186" s="4"/>
      <c r="E186" s="4"/>
      <c r="F186" s="4"/>
      <c r="G186" s="4"/>
      <c r="H186" s="4"/>
      <c r="I186" s="4"/>
      <c r="J186" s="4"/>
      <c r="K186" s="4" t="s">
        <v>502</v>
      </c>
      <c r="L186" s="4" t="s">
        <v>569</v>
      </c>
    </row>
    <row r="187" spans="1:12" ht="69.95" customHeight="1">
      <c r="A187" s="3" t="s">
        <v>364</v>
      </c>
      <c r="B187" s="4"/>
      <c r="C187" s="4" t="s">
        <v>602</v>
      </c>
      <c r="D187" s="4"/>
      <c r="E187" s="4" t="s">
        <v>627</v>
      </c>
      <c r="F187" s="4" t="s">
        <v>627</v>
      </c>
      <c r="G187" s="4" t="s">
        <v>627</v>
      </c>
      <c r="H187" s="4"/>
      <c r="I187" s="4"/>
      <c r="J187" s="4"/>
      <c r="K187" s="4" t="s">
        <v>615</v>
      </c>
      <c r="L187" s="4" t="s">
        <v>510</v>
      </c>
    </row>
    <row r="188" spans="1:12" ht="69.95" customHeight="1">
      <c r="A188" s="3" t="s">
        <v>366</v>
      </c>
      <c r="B188" s="4" t="s">
        <v>628</v>
      </c>
      <c r="C188" s="4" t="s">
        <v>560</v>
      </c>
      <c r="D188" s="4" t="s">
        <v>565</v>
      </c>
      <c r="E188" s="4" t="s">
        <v>497</v>
      </c>
      <c r="F188" s="4" t="s">
        <v>497</v>
      </c>
      <c r="G188" s="4" t="s">
        <v>497</v>
      </c>
      <c r="H188" s="4"/>
      <c r="I188" s="4">
        <v>15500</v>
      </c>
      <c r="J188" s="4">
        <v>48.7</v>
      </c>
      <c r="K188" s="4" t="s">
        <v>498</v>
      </c>
      <c r="L188" s="4" t="s">
        <v>503</v>
      </c>
    </row>
    <row r="189" spans="1:12" ht="69.95" customHeight="1">
      <c r="A189" s="3" t="s">
        <v>368</v>
      </c>
      <c r="B189" s="4"/>
      <c r="C189" s="4" t="s">
        <v>502</v>
      </c>
      <c r="D189" s="4"/>
      <c r="E189" s="4" t="s">
        <v>497</v>
      </c>
      <c r="F189" s="4" t="s">
        <v>497</v>
      </c>
      <c r="G189" s="4" t="s">
        <v>497</v>
      </c>
      <c r="H189" s="4"/>
      <c r="I189" s="4">
        <v>7394</v>
      </c>
      <c r="J189" s="4">
        <v>34.9</v>
      </c>
      <c r="K189" s="4" t="s">
        <v>498</v>
      </c>
      <c r="L189" s="4" t="s">
        <v>503</v>
      </c>
    </row>
    <row r="190" spans="1:12" ht="69.95" customHeight="1">
      <c r="A190" s="3" t="s">
        <v>370</v>
      </c>
      <c r="B190" s="4"/>
      <c r="C190" s="4" t="s">
        <v>502</v>
      </c>
      <c r="D190" s="4"/>
      <c r="E190" s="4" t="s">
        <v>497</v>
      </c>
      <c r="F190" s="4" t="s">
        <v>497</v>
      </c>
      <c r="G190" s="4" t="s">
        <v>497</v>
      </c>
      <c r="H190" s="4"/>
      <c r="I190" s="4">
        <v>4000</v>
      </c>
      <c r="J190" s="4">
        <v>28.2</v>
      </c>
      <c r="K190" s="4" t="s">
        <v>498</v>
      </c>
      <c r="L190" s="4" t="s">
        <v>503</v>
      </c>
    </row>
    <row r="191" spans="1:12" ht="69.95" customHeight="1">
      <c r="A191" s="3" t="s">
        <v>372</v>
      </c>
      <c r="B191" s="4"/>
      <c r="C191" s="4" t="s">
        <v>502</v>
      </c>
      <c r="D191" s="4"/>
      <c r="E191" s="4" t="s">
        <v>497</v>
      </c>
      <c r="F191" s="4" t="s">
        <v>497</v>
      </c>
      <c r="G191" s="4" t="s">
        <v>497</v>
      </c>
      <c r="H191" s="4"/>
      <c r="I191" s="4">
        <v>36100</v>
      </c>
      <c r="J191" s="4">
        <v>72.3</v>
      </c>
      <c r="K191" s="4" t="s">
        <v>498</v>
      </c>
      <c r="L191" s="4" t="s">
        <v>499</v>
      </c>
    </row>
    <row r="192" spans="1:12" ht="69.95" customHeight="1">
      <c r="A192" s="3" t="s">
        <v>374</v>
      </c>
      <c r="B192" s="4"/>
      <c r="C192" s="4" t="s">
        <v>602</v>
      </c>
      <c r="D192" s="4"/>
      <c r="E192" s="4" t="s">
        <v>629</v>
      </c>
      <c r="F192" s="4"/>
      <c r="G192" s="4" t="s">
        <v>629</v>
      </c>
      <c r="H192" s="4"/>
      <c r="I192" s="4"/>
      <c r="J192" s="4"/>
      <c r="K192" s="4" t="s">
        <v>502</v>
      </c>
      <c r="L192" s="4" t="s">
        <v>630</v>
      </c>
    </row>
    <row r="193" spans="1:12" ht="69.95" customHeight="1">
      <c r="A193" s="3" t="s">
        <v>376</v>
      </c>
      <c r="B193" s="4"/>
      <c r="C193" s="4" t="s">
        <v>502</v>
      </c>
      <c r="D193" s="4"/>
      <c r="E193" s="4" t="s">
        <v>497</v>
      </c>
      <c r="F193" s="4" t="s">
        <v>497</v>
      </c>
      <c r="G193" s="4" t="s">
        <v>497</v>
      </c>
      <c r="H193" s="4"/>
      <c r="I193" s="4">
        <v>36300</v>
      </c>
      <c r="J193" s="4">
        <v>73</v>
      </c>
      <c r="K193" s="4" t="s">
        <v>498</v>
      </c>
      <c r="L193" s="4" t="s">
        <v>499</v>
      </c>
    </row>
    <row r="194" spans="1:12" ht="69.95" customHeight="1">
      <c r="A194" s="3" t="s">
        <v>378</v>
      </c>
      <c r="B194" s="4"/>
      <c r="C194" s="4" t="s">
        <v>502</v>
      </c>
      <c r="D194" s="4"/>
      <c r="E194" s="4" t="s">
        <v>497</v>
      </c>
      <c r="F194" s="4" t="s">
        <v>497</v>
      </c>
      <c r="G194" s="4" t="s">
        <v>497</v>
      </c>
      <c r="H194" s="4"/>
      <c r="I194" s="4">
        <v>5500</v>
      </c>
      <c r="J194" s="4">
        <v>29.8</v>
      </c>
      <c r="K194" s="4" t="s">
        <v>498</v>
      </c>
      <c r="L194" s="4" t="s">
        <v>503</v>
      </c>
    </row>
    <row r="195" spans="1:12" ht="69.95" customHeight="1">
      <c r="A195" s="3" t="s">
        <v>380</v>
      </c>
      <c r="B195" s="4"/>
      <c r="C195" s="4" t="s">
        <v>502</v>
      </c>
      <c r="D195" s="4"/>
      <c r="E195" s="4"/>
      <c r="F195" s="4"/>
      <c r="G195" s="4"/>
      <c r="H195" s="4"/>
      <c r="I195" s="4"/>
      <c r="J195" s="4"/>
      <c r="K195" s="4" t="s">
        <v>502</v>
      </c>
      <c r="L195" s="4" t="s">
        <v>569</v>
      </c>
    </row>
    <row r="196" spans="1:12" ht="69.95" customHeight="1">
      <c r="A196" s="3" t="s">
        <v>381</v>
      </c>
      <c r="B196" s="4"/>
      <c r="C196" s="4" t="s">
        <v>502</v>
      </c>
      <c r="D196" s="4"/>
      <c r="E196" s="4" t="s">
        <v>497</v>
      </c>
      <c r="F196" s="4" t="s">
        <v>497</v>
      </c>
      <c r="G196" s="4" t="s">
        <v>497</v>
      </c>
      <c r="H196" s="4"/>
      <c r="I196" s="4">
        <v>6500</v>
      </c>
      <c r="J196" s="4">
        <v>32.6</v>
      </c>
      <c r="K196" s="4" t="s">
        <v>498</v>
      </c>
      <c r="L196" s="4" t="s">
        <v>503</v>
      </c>
    </row>
    <row r="197" spans="1:12" ht="69.95" customHeight="1">
      <c r="A197" s="3" t="s">
        <v>383</v>
      </c>
      <c r="B197" s="4"/>
      <c r="C197" s="4" t="s">
        <v>502</v>
      </c>
      <c r="D197" s="4"/>
      <c r="E197" s="4"/>
      <c r="F197" s="4"/>
      <c r="G197" s="4"/>
      <c r="H197" s="4"/>
      <c r="I197" s="4"/>
      <c r="J197" s="4"/>
      <c r="K197" s="4" t="s">
        <v>502</v>
      </c>
      <c r="L197" s="4" t="s">
        <v>569</v>
      </c>
    </row>
    <row r="198" spans="1:12" ht="69.95" customHeight="1">
      <c r="A198" s="3" t="s">
        <v>384</v>
      </c>
      <c r="B198" s="4"/>
      <c r="C198" s="4" t="s">
        <v>502</v>
      </c>
      <c r="D198" s="4"/>
      <c r="E198" s="4" t="s">
        <v>497</v>
      </c>
      <c r="F198" s="4" t="s">
        <v>497</v>
      </c>
      <c r="G198" s="4" t="s">
        <v>497</v>
      </c>
      <c r="H198" s="4"/>
      <c r="I198" s="4">
        <v>115500</v>
      </c>
      <c r="J198" s="4">
        <v>100.2</v>
      </c>
      <c r="K198" s="4" t="s">
        <v>498</v>
      </c>
      <c r="L198" s="4" t="s">
        <v>499</v>
      </c>
    </row>
    <row r="199" spans="1:12" ht="69.95" customHeight="1">
      <c r="A199" s="3" t="s">
        <v>386</v>
      </c>
      <c r="B199" s="4"/>
      <c r="C199" s="4" t="s">
        <v>502</v>
      </c>
      <c r="D199" s="4"/>
      <c r="E199" s="4" t="s">
        <v>497</v>
      </c>
      <c r="F199" s="4" t="s">
        <v>497</v>
      </c>
      <c r="G199" s="4" t="s">
        <v>497</v>
      </c>
      <c r="H199" s="4"/>
      <c r="I199" s="4">
        <v>15332</v>
      </c>
      <c r="J199" s="4">
        <v>47.1</v>
      </c>
      <c r="K199" s="4" t="s">
        <v>498</v>
      </c>
      <c r="L199" s="4" t="s">
        <v>503</v>
      </c>
    </row>
    <row r="200" spans="1:12" ht="69.95" customHeight="1">
      <c r="A200" s="3" t="s">
        <v>388</v>
      </c>
      <c r="B200" s="4"/>
      <c r="C200" s="4" t="s">
        <v>502</v>
      </c>
      <c r="D200" s="4"/>
      <c r="E200" s="4" t="s">
        <v>497</v>
      </c>
      <c r="F200" s="4" t="s">
        <v>497</v>
      </c>
      <c r="G200" s="4" t="s">
        <v>497</v>
      </c>
      <c r="H200" s="4"/>
      <c r="I200" s="4">
        <v>12500</v>
      </c>
      <c r="J200" s="4">
        <v>51.8</v>
      </c>
      <c r="K200" s="4" t="s">
        <v>498</v>
      </c>
      <c r="L200" s="4" t="s">
        <v>499</v>
      </c>
    </row>
    <row r="201" spans="1:12" ht="69.95" customHeight="1">
      <c r="A201" s="3" t="s">
        <v>390</v>
      </c>
      <c r="B201" s="4"/>
      <c r="C201" s="4" t="s">
        <v>502</v>
      </c>
      <c r="D201" s="4"/>
      <c r="E201" s="4" t="s">
        <v>497</v>
      </c>
      <c r="F201" s="4" t="s">
        <v>497</v>
      </c>
      <c r="G201" s="4" t="s">
        <v>497</v>
      </c>
      <c r="H201" s="4"/>
      <c r="I201" s="4">
        <v>892871</v>
      </c>
      <c r="J201" s="4">
        <v>226.2</v>
      </c>
      <c r="K201" s="4" t="s">
        <v>498</v>
      </c>
      <c r="L201" s="4" t="s">
        <v>503</v>
      </c>
    </row>
    <row r="202" spans="1:12" ht="69.95" customHeight="1">
      <c r="A202" s="3" t="s">
        <v>392</v>
      </c>
      <c r="B202" s="4"/>
      <c r="C202" s="4" t="s">
        <v>502</v>
      </c>
      <c r="D202" s="4"/>
      <c r="E202" s="4" t="s">
        <v>497</v>
      </c>
      <c r="F202" s="4" t="s">
        <v>497</v>
      </c>
      <c r="G202" s="4" t="s">
        <v>497</v>
      </c>
      <c r="H202" s="4"/>
      <c r="I202" s="4">
        <v>2440</v>
      </c>
      <c r="J202" s="4">
        <v>23.8</v>
      </c>
      <c r="K202" s="4" t="s">
        <v>498</v>
      </c>
      <c r="L202" s="4" t="s">
        <v>503</v>
      </c>
    </row>
    <row r="203" spans="1:12" ht="69.95" customHeight="1">
      <c r="A203" s="3" t="s">
        <v>394</v>
      </c>
      <c r="B203" s="4"/>
      <c r="C203" s="4" t="s">
        <v>502</v>
      </c>
      <c r="D203" s="4"/>
      <c r="E203" s="4" t="s">
        <v>497</v>
      </c>
      <c r="F203" s="4" t="s">
        <v>497</v>
      </c>
      <c r="G203" s="4" t="s">
        <v>497</v>
      </c>
      <c r="H203" s="4"/>
      <c r="I203" s="4">
        <v>5100</v>
      </c>
      <c r="J203" s="4">
        <v>28</v>
      </c>
      <c r="K203" s="4" t="s">
        <v>498</v>
      </c>
      <c r="L203" s="4" t="s">
        <v>503</v>
      </c>
    </row>
    <row r="204" spans="1:12" ht="69.95" customHeight="1">
      <c r="A204" s="3" t="s">
        <v>396</v>
      </c>
      <c r="B204" s="4"/>
      <c r="C204" s="4" t="s">
        <v>502</v>
      </c>
      <c r="D204" s="4"/>
      <c r="E204" s="4" t="s">
        <v>497</v>
      </c>
      <c r="F204" s="4" t="s">
        <v>497</v>
      </c>
      <c r="G204" s="4" t="s">
        <v>497</v>
      </c>
      <c r="H204" s="4"/>
      <c r="I204" s="4">
        <v>28660</v>
      </c>
      <c r="J204" s="4">
        <v>56.3</v>
      </c>
      <c r="K204" s="4" t="s">
        <v>498</v>
      </c>
      <c r="L204" s="4" t="s">
        <v>503</v>
      </c>
    </row>
    <row r="205" spans="1:12" ht="69.95" customHeight="1">
      <c r="A205" s="3" t="s">
        <v>398</v>
      </c>
      <c r="B205" s="4"/>
      <c r="C205" s="4" t="s">
        <v>502</v>
      </c>
      <c r="D205" s="4"/>
      <c r="E205" s="4" t="s">
        <v>497</v>
      </c>
      <c r="F205" s="4" t="s">
        <v>497</v>
      </c>
      <c r="G205" s="4" t="s">
        <v>497</v>
      </c>
      <c r="H205" s="4"/>
      <c r="I205" s="4">
        <v>155000</v>
      </c>
      <c r="J205" s="4">
        <v>112.8</v>
      </c>
      <c r="K205" s="4" t="s">
        <v>498</v>
      </c>
      <c r="L205" s="4" t="s">
        <v>503</v>
      </c>
    </row>
    <row r="206" spans="1:12" ht="69.95" customHeight="1">
      <c r="A206" s="3" t="s">
        <v>400</v>
      </c>
      <c r="B206" s="4"/>
      <c r="C206" s="4" t="s">
        <v>502</v>
      </c>
      <c r="D206" s="4"/>
      <c r="E206" s="4" t="s">
        <v>497</v>
      </c>
      <c r="F206" s="4" t="s">
        <v>497</v>
      </c>
      <c r="G206" s="4" t="s">
        <v>497</v>
      </c>
      <c r="H206" s="4"/>
      <c r="I206" s="4">
        <v>41005</v>
      </c>
      <c r="J206" s="4">
        <v>74.400000000000006</v>
      </c>
      <c r="K206" s="4" t="s">
        <v>498</v>
      </c>
      <c r="L206" s="4" t="s">
        <v>503</v>
      </c>
    </row>
    <row r="207" spans="1:12" ht="69.95" customHeight="1">
      <c r="A207" s="3" t="s">
        <v>402</v>
      </c>
      <c r="B207" s="4"/>
      <c r="C207" s="4" t="s">
        <v>502</v>
      </c>
      <c r="D207" s="4"/>
      <c r="E207" s="4" t="s">
        <v>631</v>
      </c>
      <c r="F207" s="4" t="s">
        <v>631</v>
      </c>
      <c r="G207" s="4" t="s">
        <v>631</v>
      </c>
      <c r="H207" s="4"/>
      <c r="I207" s="4"/>
      <c r="J207" s="4"/>
      <c r="K207" s="4" t="s">
        <v>509</v>
      </c>
      <c r="L207" s="4" t="s">
        <v>510</v>
      </c>
    </row>
    <row r="208" spans="1:12" ht="69.95" customHeight="1">
      <c r="A208" s="3" t="s">
        <v>404</v>
      </c>
      <c r="B208" s="4"/>
      <c r="C208" s="4" t="s">
        <v>502</v>
      </c>
      <c r="D208" s="4"/>
      <c r="E208" s="4" t="s">
        <v>497</v>
      </c>
      <c r="F208" s="4" t="s">
        <v>497</v>
      </c>
      <c r="G208" s="4" t="s">
        <v>497</v>
      </c>
      <c r="H208" s="4"/>
      <c r="I208" s="4">
        <v>11850</v>
      </c>
      <c r="J208" s="4">
        <v>43.5</v>
      </c>
      <c r="K208" s="4" t="s">
        <v>498</v>
      </c>
      <c r="L208" s="4" t="s">
        <v>632</v>
      </c>
    </row>
    <row r="209" spans="1:12" ht="69.95" customHeight="1">
      <c r="A209" s="3" t="s">
        <v>406</v>
      </c>
      <c r="B209" s="4"/>
      <c r="C209" s="4" t="s">
        <v>502</v>
      </c>
      <c r="D209" s="4"/>
      <c r="E209" s="4" t="s">
        <v>633</v>
      </c>
      <c r="F209" s="4" t="s">
        <v>633</v>
      </c>
      <c r="G209" s="4" t="s">
        <v>633</v>
      </c>
      <c r="H209" s="4"/>
      <c r="I209" s="4"/>
      <c r="J209" s="4"/>
      <c r="K209" s="4" t="s">
        <v>545</v>
      </c>
      <c r="L209" s="4" t="s">
        <v>634</v>
      </c>
    </row>
    <row r="210" spans="1:12" ht="69.95" customHeight="1">
      <c r="A210" s="3" t="s">
        <v>408</v>
      </c>
      <c r="B210" s="4"/>
      <c r="C210" s="4" t="s">
        <v>502</v>
      </c>
      <c r="D210" s="4"/>
      <c r="E210" s="4"/>
      <c r="F210" s="4"/>
      <c r="G210" s="4"/>
      <c r="H210" s="4"/>
      <c r="I210" s="4"/>
      <c r="J210" s="4"/>
      <c r="K210" s="4" t="s">
        <v>502</v>
      </c>
      <c r="L210" s="4" t="s">
        <v>569</v>
      </c>
    </row>
    <row r="211" spans="1:12" ht="69.95" customHeight="1">
      <c r="A211" s="3" t="s">
        <v>409</v>
      </c>
      <c r="B211" s="4"/>
      <c r="C211" s="4" t="s">
        <v>502</v>
      </c>
      <c r="D211" s="4"/>
      <c r="E211" s="4" t="s">
        <v>497</v>
      </c>
      <c r="F211" s="4" t="s">
        <v>497</v>
      </c>
      <c r="G211" s="4" t="s">
        <v>497</v>
      </c>
      <c r="H211" s="4"/>
      <c r="I211" s="4">
        <v>11574</v>
      </c>
      <c r="J211" s="4">
        <v>39.4</v>
      </c>
      <c r="K211" s="4" t="s">
        <v>498</v>
      </c>
      <c r="L211" s="4" t="s">
        <v>499</v>
      </c>
    </row>
    <row r="212" spans="1:12" ht="69.95" customHeight="1">
      <c r="A212" s="3" t="s">
        <v>411</v>
      </c>
      <c r="B212" s="4"/>
      <c r="C212" s="4" t="s">
        <v>502</v>
      </c>
      <c r="D212" s="4"/>
      <c r="E212" s="4" t="s">
        <v>497</v>
      </c>
      <c r="F212" s="4" t="s">
        <v>497</v>
      </c>
      <c r="G212" s="4" t="s">
        <v>497</v>
      </c>
      <c r="H212" s="4"/>
      <c r="I212" s="4">
        <v>4340</v>
      </c>
      <c r="J212" s="4">
        <v>28.9</v>
      </c>
      <c r="K212" s="4" t="s">
        <v>498</v>
      </c>
      <c r="L212" s="4" t="s">
        <v>503</v>
      </c>
    </row>
    <row r="213" spans="1:12" ht="69.95" customHeight="1">
      <c r="A213" s="3" t="s">
        <v>413</v>
      </c>
      <c r="B213" s="4"/>
      <c r="C213" s="4" t="s">
        <v>502</v>
      </c>
      <c r="D213" s="4"/>
      <c r="E213" s="4"/>
      <c r="F213" s="4"/>
      <c r="G213" s="4"/>
      <c r="H213" s="4"/>
      <c r="I213" s="4"/>
      <c r="J213" s="4"/>
      <c r="K213" s="4" t="s">
        <v>502</v>
      </c>
      <c r="L213" s="4" t="s">
        <v>569</v>
      </c>
    </row>
    <row r="214" spans="1:12" ht="69.95" customHeight="1">
      <c r="A214" s="3" t="s">
        <v>414</v>
      </c>
      <c r="B214" s="4"/>
      <c r="C214" s="4" t="s">
        <v>502</v>
      </c>
      <c r="D214" s="4"/>
      <c r="E214" s="4" t="s">
        <v>497</v>
      </c>
      <c r="F214" s="4" t="s">
        <v>497</v>
      </c>
      <c r="G214" s="4" t="s">
        <v>497</v>
      </c>
      <c r="H214" s="4"/>
      <c r="I214" s="4">
        <v>3600</v>
      </c>
      <c r="J214" s="4">
        <v>28.3</v>
      </c>
      <c r="K214" s="4" t="s">
        <v>498</v>
      </c>
      <c r="L214" s="4" t="s">
        <v>503</v>
      </c>
    </row>
    <row r="215" spans="1:12" ht="69.95" customHeight="1">
      <c r="A215" s="3" t="s">
        <v>416</v>
      </c>
      <c r="B215" s="4"/>
      <c r="C215" s="4" t="s">
        <v>502</v>
      </c>
      <c r="D215" s="4"/>
      <c r="E215" s="4" t="s">
        <v>497</v>
      </c>
      <c r="F215" s="4" t="s">
        <v>497</v>
      </c>
      <c r="G215" s="4" t="s">
        <v>497</v>
      </c>
      <c r="H215" s="4"/>
      <c r="I215" s="4">
        <v>3100</v>
      </c>
      <c r="J215" s="4">
        <v>29</v>
      </c>
      <c r="K215" s="4" t="s">
        <v>498</v>
      </c>
      <c r="L215" s="4" t="s">
        <v>503</v>
      </c>
    </row>
    <row r="216" spans="1:12" ht="69.95" customHeight="1">
      <c r="A216" s="3" t="s">
        <v>418</v>
      </c>
      <c r="B216" s="4"/>
      <c r="C216" s="4" t="s">
        <v>602</v>
      </c>
      <c r="D216" s="4"/>
      <c r="E216" s="4" t="s">
        <v>635</v>
      </c>
      <c r="F216" s="4" t="s">
        <v>635</v>
      </c>
      <c r="G216" s="4" t="s">
        <v>635</v>
      </c>
      <c r="H216" s="4"/>
      <c r="I216" s="4"/>
      <c r="J216" s="4"/>
      <c r="K216" s="4" t="s">
        <v>615</v>
      </c>
      <c r="L216" s="4" t="s">
        <v>510</v>
      </c>
    </row>
    <row r="217" spans="1:12" ht="69.95" customHeight="1">
      <c r="A217" s="3" t="s">
        <v>420</v>
      </c>
      <c r="B217" s="4"/>
      <c r="C217" s="4" t="s">
        <v>502</v>
      </c>
      <c r="D217" s="4"/>
      <c r="E217" s="4" t="s">
        <v>497</v>
      </c>
      <c r="F217" s="4" t="s">
        <v>497</v>
      </c>
      <c r="G217" s="4" t="s">
        <v>497</v>
      </c>
      <c r="H217" s="4"/>
      <c r="I217" s="4">
        <v>6750</v>
      </c>
      <c r="J217" s="4">
        <v>36.4</v>
      </c>
      <c r="K217" s="4" t="s">
        <v>498</v>
      </c>
      <c r="L217" s="4" t="s">
        <v>503</v>
      </c>
    </row>
    <row r="218" spans="1:12" ht="69.95" customHeight="1">
      <c r="A218" s="3" t="s">
        <v>422</v>
      </c>
      <c r="B218" s="4"/>
      <c r="C218" s="4" t="s">
        <v>502</v>
      </c>
      <c r="D218" s="4"/>
      <c r="E218" s="4" t="s">
        <v>497</v>
      </c>
      <c r="F218" s="4" t="s">
        <v>497</v>
      </c>
      <c r="G218" s="4" t="s">
        <v>497</v>
      </c>
      <c r="H218" s="4"/>
      <c r="I218" s="4">
        <v>3374</v>
      </c>
      <c r="J218" s="4">
        <v>26.8</v>
      </c>
      <c r="K218" s="4" t="s">
        <v>498</v>
      </c>
      <c r="L218" s="4" t="s">
        <v>503</v>
      </c>
    </row>
    <row r="219" spans="1:12" ht="69.95" customHeight="1">
      <c r="A219" s="3" t="s">
        <v>424</v>
      </c>
      <c r="B219" s="4"/>
      <c r="C219" s="4" t="s">
        <v>502</v>
      </c>
      <c r="D219" s="4"/>
      <c r="E219" s="4"/>
      <c r="F219" s="4"/>
      <c r="G219" s="4"/>
      <c r="H219" s="4"/>
      <c r="I219" s="4"/>
      <c r="J219" s="4"/>
      <c r="K219" s="4" t="s">
        <v>502</v>
      </c>
      <c r="L219" s="4" t="s">
        <v>569</v>
      </c>
    </row>
    <row r="220" spans="1:12" ht="69.95" customHeight="1">
      <c r="A220" s="3" t="s">
        <v>425</v>
      </c>
      <c r="B220" s="4"/>
      <c r="C220" s="4" t="s">
        <v>502</v>
      </c>
      <c r="D220" s="4"/>
      <c r="E220" s="4" t="s">
        <v>497</v>
      </c>
      <c r="F220" s="4" t="s">
        <v>497</v>
      </c>
      <c r="G220" s="4" t="s">
        <v>497</v>
      </c>
      <c r="H220" s="4"/>
      <c r="I220" s="4">
        <v>14000</v>
      </c>
      <c r="J220" s="4">
        <v>46.7</v>
      </c>
      <c r="K220" s="4" t="s">
        <v>498</v>
      </c>
      <c r="L220" s="4" t="s">
        <v>499</v>
      </c>
    </row>
    <row r="221" spans="1:12" ht="69.95" customHeight="1">
      <c r="A221" s="3" t="s">
        <v>427</v>
      </c>
      <c r="B221" s="4"/>
      <c r="C221" s="4" t="s">
        <v>602</v>
      </c>
      <c r="D221" s="4"/>
      <c r="E221" s="4" t="s">
        <v>636</v>
      </c>
      <c r="F221" s="4"/>
      <c r="G221" s="4" t="s">
        <v>636</v>
      </c>
      <c r="H221" s="4"/>
      <c r="I221" s="4"/>
      <c r="J221" s="4"/>
      <c r="K221" s="4" t="s">
        <v>502</v>
      </c>
      <c r="L221" s="4" t="s">
        <v>637</v>
      </c>
    </row>
    <row r="222" spans="1:12" ht="69.95" customHeight="1">
      <c r="A222" s="3" t="s">
        <v>429</v>
      </c>
      <c r="B222" s="4"/>
      <c r="C222" s="4" t="s">
        <v>502</v>
      </c>
      <c r="D222" s="4"/>
      <c r="E222" s="4" t="s">
        <v>497</v>
      </c>
      <c r="F222" s="4" t="s">
        <v>497</v>
      </c>
      <c r="G222" s="4" t="s">
        <v>497</v>
      </c>
      <c r="H222" s="4"/>
      <c r="I222" s="4">
        <v>12500</v>
      </c>
      <c r="J222" s="4">
        <v>42.2</v>
      </c>
      <c r="K222" s="4" t="s">
        <v>498</v>
      </c>
      <c r="L222" s="4" t="s">
        <v>503</v>
      </c>
    </row>
    <row r="223" spans="1:12" ht="69.95" customHeight="1">
      <c r="A223" s="3" t="s">
        <v>431</v>
      </c>
      <c r="B223" s="4"/>
      <c r="C223" s="4" t="s">
        <v>502</v>
      </c>
      <c r="D223" s="4"/>
      <c r="E223" s="4" t="s">
        <v>638</v>
      </c>
      <c r="F223" s="4" t="s">
        <v>638</v>
      </c>
      <c r="G223" s="4" t="s">
        <v>638</v>
      </c>
      <c r="H223" s="4"/>
      <c r="I223" s="4"/>
      <c r="J223" s="4"/>
      <c r="K223" s="4" t="s">
        <v>545</v>
      </c>
      <c r="L223" s="4" t="s">
        <v>639</v>
      </c>
    </row>
    <row r="224" spans="1:12" ht="69.95" customHeight="1">
      <c r="A224" s="3" t="s">
        <v>433</v>
      </c>
      <c r="B224" s="4" t="s">
        <v>434</v>
      </c>
      <c r="C224" s="4" t="s">
        <v>543</v>
      </c>
      <c r="D224" s="4" t="s">
        <v>640</v>
      </c>
      <c r="E224" s="4" t="s">
        <v>640</v>
      </c>
      <c r="F224" s="4" t="s">
        <v>640</v>
      </c>
      <c r="G224" s="4" t="s">
        <v>497</v>
      </c>
      <c r="H224" s="4"/>
      <c r="I224" s="4"/>
      <c r="J224" s="4"/>
      <c r="K224" s="4" t="s">
        <v>545</v>
      </c>
      <c r="L224" s="4" t="s">
        <v>546</v>
      </c>
    </row>
    <row r="225" spans="1:12" ht="69.95" customHeight="1">
      <c r="A225" s="3" t="s">
        <v>435</v>
      </c>
      <c r="B225" s="4"/>
      <c r="C225" s="4" t="s">
        <v>502</v>
      </c>
      <c r="D225" s="4"/>
      <c r="E225" s="4" t="s">
        <v>497</v>
      </c>
      <c r="F225" s="4" t="s">
        <v>497</v>
      </c>
      <c r="G225" s="4" t="s">
        <v>497</v>
      </c>
      <c r="H225" s="4"/>
      <c r="I225" s="4">
        <v>26100</v>
      </c>
      <c r="J225" s="4">
        <v>56.8</v>
      </c>
      <c r="K225" s="4" t="s">
        <v>498</v>
      </c>
      <c r="L225" s="4" t="s">
        <v>499</v>
      </c>
    </row>
    <row r="226" spans="1:12" ht="69.95" customHeight="1">
      <c r="A226" s="3" t="s">
        <v>437</v>
      </c>
      <c r="B226" s="4"/>
      <c r="C226" s="4" t="s">
        <v>502</v>
      </c>
      <c r="D226" s="4"/>
      <c r="E226" s="4"/>
      <c r="F226" s="4"/>
      <c r="G226" s="4"/>
      <c r="H226" s="4"/>
      <c r="I226" s="4"/>
      <c r="J226" s="4"/>
      <c r="K226" s="4" t="s">
        <v>502</v>
      </c>
      <c r="L226" s="4" t="s">
        <v>569</v>
      </c>
    </row>
    <row r="227" spans="1:12" ht="69.95" customHeight="1">
      <c r="A227" s="3" t="s">
        <v>438</v>
      </c>
      <c r="B227" s="4"/>
      <c r="C227" s="4" t="s">
        <v>502</v>
      </c>
      <c r="D227" s="4"/>
      <c r="E227" s="4" t="s">
        <v>641</v>
      </c>
      <c r="F227" s="4" t="s">
        <v>641</v>
      </c>
      <c r="G227" s="4" t="s">
        <v>641</v>
      </c>
      <c r="H227" s="4"/>
      <c r="I227" s="4"/>
      <c r="J227" s="4"/>
      <c r="K227" s="4" t="s">
        <v>509</v>
      </c>
      <c r="L227" s="4" t="s">
        <v>510</v>
      </c>
    </row>
    <row r="228" spans="1:12" ht="69.95" customHeight="1">
      <c r="A228" s="3" t="s">
        <v>440</v>
      </c>
      <c r="B228" s="4"/>
      <c r="C228" s="4" t="s">
        <v>502</v>
      </c>
      <c r="D228" s="4"/>
      <c r="E228" s="4" t="s">
        <v>497</v>
      </c>
      <c r="F228" s="4" t="s">
        <v>497</v>
      </c>
      <c r="G228" s="4" t="s">
        <v>497</v>
      </c>
      <c r="H228" s="4"/>
      <c r="I228" s="4">
        <v>3368</v>
      </c>
      <c r="J228" s="4">
        <v>26.8</v>
      </c>
      <c r="K228" s="4" t="s">
        <v>498</v>
      </c>
      <c r="L228" s="4" t="s">
        <v>503</v>
      </c>
    </row>
    <row r="229" spans="1:12" ht="69.95" customHeight="1">
      <c r="A229" s="3" t="s">
        <v>442</v>
      </c>
      <c r="B229" s="4"/>
      <c r="C229" s="4" t="s">
        <v>502</v>
      </c>
      <c r="D229" s="4"/>
      <c r="E229" s="4" t="s">
        <v>497</v>
      </c>
      <c r="F229" s="4" t="s">
        <v>497</v>
      </c>
      <c r="G229" s="4" t="s">
        <v>497</v>
      </c>
      <c r="H229" s="4"/>
      <c r="I229" s="4">
        <v>7255</v>
      </c>
      <c r="J229" s="4">
        <v>34.200000000000003</v>
      </c>
      <c r="K229" s="4" t="s">
        <v>498</v>
      </c>
      <c r="L229" s="4" t="s">
        <v>503</v>
      </c>
    </row>
    <row r="230" spans="1:12" ht="69.95" customHeight="1">
      <c r="A230" s="3" t="s">
        <v>444</v>
      </c>
      <c r="B230" s="4"/>
      <c r="C230" s="4" t="s">
        <v>502</v>
      </c>
      <c r="D230" s="4"/>
      <c r="E230" s="4" t="s">
        <v>497</v>
      </c>
      <c r="F230" s="4" t="s">
        <v>497</v>
      </c>
      <c r="G230" s="4" t="s">
        <v>497</v>
      </c>
      <c r="H230" s="4"/>
      <c r="I230" s="4">
        <v>3100</v>
      </c>
      <c r="J230" s="4">
        <v>29</v>
      </c>
      <c r="K230" s="4" t="s">
        <v>498</v>
      </c>
      <c r="L230" s="4" t="s">
        <v>503</v>
      </c>
    </row>
    <row r="231" spans="1:12" ht="69.95" customHeight="1">
      <c r="A231" s="3" t="s">
        <v>446</v>
      </c>
      <c r="B231" s="4"/>
      <c r="C231" s="4" t="s">
        <v>502</v>
      </c>
      <c r="D231" s="4"/>
      <c r="E231" s="4" t="s">
        <v>497</v>
      </c>
      <c r="F231" s="4" t="s">
        <v>497</v>
      </c>
      <c r="G231" s="4" t="s">
        <v>497</v>
      </c>
      <c r="H231" s="4"/>
      <c r="I231" s="4">
        <v>3400</v>
      </c>
      <c r="J231" s="4">
        <v>26.7</v>
      </c>
      <c r="K231" s="4" t="s">
        <v>498</v>
      </c>
      <c r="L231" s="4" t="s">
        <v>503</v>
      </c>
    </row>
    <row r="232" spans="1:12" ht="69.95" customHeight="1">
      <c r="A232" s="3" t="s">
        <v>448</v>
      </c>
      <c r="B232" s="4"/>
      <c r="C232" s="4" t="s">
        <v>502</v>
      </c>
      <c r="D232" s="4"/>
      <c r="E232" s="4" t="s">
        <v>497</v>
      </c>
      <c r="F232" s="4" t="s">
        <v>497</v>
      </c>
      <c r="G232" s="4" t="s">
        <v>497</v>
      </c>
      <c r="H232" s="4"/>
      <c r="I232" s="4">
        <v>69700</v>
      </c>
      <c r="J232" s="4">
        <v>83.1</v>
      </c>
      <c r="K232" s="4" t="s">
        <v>498</v>
      </c>
      <c r="L232" s="4" t="s">
        <v>503</v>
      </c>
    </row>
    <row r="233" spans="1:12" ht="69.95" customHeight="1">
      <c r="A233" s="3" t="s">
        <v>450</v>
      </c>
      <c r="B233" s="4"/>
      <c r="C233" s="4" t="s">
        <v>502</v>
      </c>
      <c r="D233" s="4"/>
      <c r="E233" s="4" t="s">
        <v>497</v>
      </c>
      <c r="F233" s="4" t="s">
        <v>497</v>
      </c>
      <c r="G233" s="4" t="s">
        <v>497</v>
      </c>
      <c r="H233" s="4"/>
      <c r="I233" s="4">
        <v>2900</v>
      </c>
      <c r="J233" s="4">
        <v>24.8</v>
      </c>
      <c r="K233" s="4" t="s">
        <v>498</v>
      </c>
      <c r="L233" s="4" t="s">
        <v>503</v>
      </c>
    </row>
    <row r="234" spans="1:12" ht="69.95" customHeight="1">
      <c r="A234" s="3" t="s">
        <v>452</v>
      </c>
      <c r="B234" s="4" t="s">
        <v>453</v>
      </c>
      <c r="C234" s="4" t="s">
        <v>538</v>
      </c>
      <c r="D234" s="4" t="s">
        <v>642</v>
      </c>
      <c r="E234" s="4" t="s">
        <v>643</v>
      </c>
      <c r="F234" s="4" t="s">
        <v>642</v>
      </c>
      <c r="G234" s="4" t="s">
        <v>642</v>
      </c>
      <c r="H234" s="4"/>
      <c r="I234" s="4"/>
      <c r="J234" s="4"/>
      <c r="K234" s="4" t="s">
        <v>644</v>
      </c>
      <c r="L234" s="4" t="s">
        <v>645</v>
      </c>
    </row>
    <row r="235" spans="1:12" ht="69.95" customHeight="1">
      <c r="A235" s="3" t="s">
        <v>454</v>
      </c>
      <c r="B235" s="4"/>
      <c r="C235" s="4" t="s">
        <v>502</v>
      </c>
      <c r="D235" s="4"/>
      <c r="E235" s="4" t="s">
        <v>646</v>
      </c>
      <c r="F235" s="4" t="s">
        <v>646</v>
      </c>
      <c r="G235" s="4" t="s">
        <v>646</v>
      </c>
      <c r="H235" s="4"/>
      <c r="I235" s="4"/>
      <c r="J235" s="4"/>
      <c r="K235" s="4" t="s">
        <v>509</v>
      </c>
      <c r="L235" s="4" t="s">
        <v>510</v>
      </c>
    </row>
    <row r="236" spans="1:12" ht="69.95" customHeight="1">
      <c r="A236" s="3" t="s">
        <v>456</v>
      </c>
      <c r="B236" s="4"/>
      <c r="C236" s="4" t="s">
        <v>502</v>
      </c>
      <c r="D236" s="4"/>
      <c r="E236" s="4"/>
      <c r="F236" s="4"/>
      <c r="G236" s="4"/>
      <c r="H236" s="4"/>
      <c r="I236" s="4"/>
      <c r="J236" s="4"/>
      <c r="K236" s="4" t="s">
        <v>502</v>
      </c>
      <c r="L236" s="4" t="s">
        <v>569</v>
      </c>
    </row>
    <row r="237" spans="1:12" ht="69.95" customHeight="1">
      <c r="A237" s="3" t="s">
        <v>457</v>
      </c>
      <c r="B237" s="4"/>
      <c r="C237" s="4" t="s">
        <v>502</v>
      </c>
      <c r="D237" s="4"/>
      <c r="E237" s="4" t="s">
        <v>497</v>
      </c>
      <c r="F237" s="4" t="s">
        <v>497</v>
      </c>
      <c r="G237" s="4" t="s">
        <v>497</v>
      </c>
      <c r="H237" s="4"/>
      <c r="I237" s="4">
        <v>3600</v>
      </c>
      <c r="J237" s="4">
        <v>27.7</v>
      </c>
      <c r="K237" s="4" t="s">
        <v>498</v>
      </c>
      <c r="L237" s="4" t="s">
        <v>503</v>
      </c>
    </row>
    <row r="238" spans="1:12" ht="69.95" customHeight="1">
      <c r="A238" s="3" t="s">
        <v>459</v>
      </c>
      <c r="B238" s="4"/>
      <c r="C238" s="4" t="s">
        <v>502</v>
      </c>
      <c r="D238" s="4"/>
      <c r="E238" s="4" t="s">
        <v>497</v>
      </c>
      <c r="F238" s="4" t="s">
        <v>497</v>
      </c>
      <c r="G238" s="4" t="s">
        <v>497</v>
      </c>
      <c r="H238" s="4"/>
      <c r="I238" s="4">
        <v>3800</v>
      </c>
      <c r="J238" s="4">
        <v>28.2</v>
      </c>
      <c r="K238" s="4" t="s">
        <v>498</v>
      </c>
      <c r="L238" s="4" t="s">
        <v>503</v>
      </c>
    </row>
    <row r="239" spans="1:12" ht="69.95" customHeight="1">
      <c r="A239" s="3" t="s">
        <v>461</v>
      </c>
      <c r="B239" s="4"/>
      <c r="C239" s="4" t="s">
        <v>502</v>
      </c>
      <c r="D239" s="4"/>
      <c r="E239" s="4" t="s">
        <v>497</v>
      </c>
      <c r="F239" s="4" t="s">
        <v>497</v>
      </c>
      <c r="G239" s="4" t="s">
        <v>497</v>
      </c>
      <c r="H239" s="4"/>
      <c r="I239" s="4">
        <v>41100</v>
      </c>
      <c r="J239" s="4">
        <v>84.3</v>
      </c>
      <c r="K239" s="4" t="s">
        <v>498</v>
      </c>
      <c r="L239" s="4" t="s">
        <v>499</v>
      </c>
    </row>
    <row r="240" spans="1:12" ht="69.95" customHeight="1">
      <c r="A240" s="3" t="s">
        <v>463</v>
      </c>
      <c r="B240" s="4"/>
      <c r="C240" s="4" t="s">
        <v>502</v>
      </c>
      <c r="D240" s="4"/>
      <c r="E240" s="4" t="s">
        <v>647</v>
      </c>
      <c r="F240" s="4" t="s">
        <v>647</v>
      </c>
      <c r="G240" s="4" t="s">
        <v>647</v>
      </c>
      <c r="H240" s="4"/>
      <c r="I240" s="4"/>
      <c r="J240" s="4"/>
      <c r="K240" s="4" t="s">
        <v>509</v>
      </c>
      <c r="L240" s="4" t="s">
        <v>510</v>
      </c>
    </row>
    <row r="241" spans="1:12" ht="69.95" customHeight="1">
      <c r="A241" s="3" t="s">
        <v>465</v>
      </c>
      <c r="B241" s="4"/>
      <c r="C241" s="4" t="s">
        <v>502</v>
      </c>
      <c r="D241" s="4"/>
      <c r="E241" s="4" t="s">
        <v>497</v>
      </c>
      <c r="F241" s="4" t="s">
        <v>497</v>
      </c>
      <c r="G241" s="4" t="s">
        <v>497</v>
      </c>
      <c r="H241" s="4"/>
      <c r="I241" s="4">
        <v>50044.934000000001</v>
      </c>
      <c r="J241" s="4">
        <v>53.3</v>
      </c>
      <c r="K241" s="4" t="s">
        <v>498</v>
      </c>
      <c r="L241" s="4" t="s">
        <v>503</v>
      </c>
    </row>
    <row r="242" spans="1:12" ht="69.95" customHeight="1">
      <c r="A242" s="3" t="s">
        <v>467</v>
      </c>
      <c r="B242" s="4"/>
      <c r="C242" s="4" t="s">
        <v>502</v>
      </c>
      <c r="D242" s="4"/>
      <c r="E242" s="4" t="s">
        <v>497</v>
      </c>
      <c r="F242" s="4" t="s">
        <v>497</v>
      </c>
      <c r="G242" s="4" t="s">
        <v>497</v>
      </c>
      <c r="H242" s="4"/>
      <c r="I242" s="4">
        <v>8700</v>
      </c>
      <c r="J242" s="4">
        <v>34.700000000000003</v>
      </c>
      <c r="K242" s="4" t="s">
        <v>498</v>
      </c>
      <c r="L242" s="4" t="s">
        <v>503</v>
      </c>
    </row>
    <row r="243" spans="1:12" ht="69.95" customHeight="1">
      <c r="A243" s="3" t="s">
        <v>469</v>
      </c>
      <c r="B243" s="4" t="s">
        <v>648</v>
      </c>
      <c r="C243" s="4" t="s">
        <v>560</v>
      </c>
      <c r="D243" s="4" t="s">
        <v>561</v>
      </c>
      <c r="E243" s="4" t="s">
        <v>649</v>
      </c>
      <c r="F243" s="4" t="s">
        <v>649</v>
      </c>
      <c r="G243" s="4" t="s">
        <v>649</v>
      </c>
      <c r="H243" s="4"/>
      <c r="I243" s="4"/>
      <c r="J243" s="4"/>
      <c r="K243" s="4" t="s">
        <v>509</v>
      </c>
      <c r="L243" s="4" t="s">
        <v>510</v>
      </c>
    </row>
    <row r="244" spans="1:12" ht="69.95" customHeight="1">
      <c r="A244" s="3" t="s">
        <v>471</v>
      </c>
      <c r="B244" s="4"/>
      <c r="C244" s="4" t="s">
        <v>502</v>
      </c>
      <c r="D244" s="4"/>
      <c r="E244" s="4" t="s">
        <v>650</v>
      </c>
      <c r="F244" s="4" t="s">
        <v>650</v>
      </c>
      <c r="G244" s="4" t="s">
        <v>650</v>
      </c>
      <c r="H244" s="4"/>
      <c r="I244" s="4"/>
      <c r="J244" s="4"/>
      <c r="K244" s="4" t="s">
        <v>545</v>
      </c>
      <c r="L244" s="4"/>
    </row>
    <row r="245" spans="1:12" ht="69.95" customHeight="1">
      <c r="A245" s="3" t="s">
        <v>473</v>
      </c>
      <c r="B245" s="4"/>
      <c r="C245" s="4" t="s">
        <v>502</v>
      </c>
      <c r="D245" s="4"/>
      <c r="E245" s="4"/>
      <c r="F245" s="4"/>
      <c r="G245" s="4"/>
      <c r="H245" s="4"/>
      <c r="I245" s="4"/>
      <c r="J245" s="4"/>
      <c r="K245" s="4" t="s">
        <v>502</v>
      </c>
      <c r="L245" s="4" t="s">
        <v>569</v>
      </c>
    </row>
    <row r="246" spans="1:12" ht="69.95" customHeight="1">
      <c r="A246" s="3" t="s">
        <v>474</v>
      </c>
      <c r="B246" s="4" t="s">
        <v>651</v>
      </c>
      <c r="C246" s="4" t="s">
        <v>560</v>
      </c>
      <c r="D246" s="4" t="s">
        <v>565</v>
      </c>
      <c r="E246" s="4" t="s">
        <v>497</v>
      </c>
      <c r="F246" s="4" t="s">
        <v>497</v>
      </c>
      <c r="G246" s="4" t="s">
        <v>497</v>
      </c>
      <c r="H246" s="4"/>
      <c r="I246" s="4">
        <v>75000</v>
      </c>
      <c r="J246" s="4">
        <v>106.6</v>
      </c>
      <c r="K246" s="4" t="s">
        <v>498</v>
      </c>
      <c r="L246" s="4" t="s">
        <v>499</v>
      </c>
    </row>
    <row r="247" spans="1:12" ht="69.95" customHeight="1">
      <c r="A247" s="3" t="s">
        <v>476</v>
      </c>
      <c r="B247" s="4"/>
      <c r="C247" s="4" t="s">
        <v>502</v>
      </c>
      <c r="D247" s="4"/>
      <c r="E247" s="4"/>
      <c r="F247" s="4"/>
      <c r="G247" s="4"/>
      <c r="H247" s="4"/>
      <c r="I247" s="4"/>
      <c r="J247" s="4"/>
      <c r="K247" s="4" t="s">
        <v>502</v>
      </c>
      <c r="L247" s="4" t="s">
        <v>569</v>
      </c>
    </row>
    <row r="248" spans="1:12" ht="69.95" customHeight="1">
      <c r="A248" s="3" t="s">
        <v>477</v>
      </c>
      <c r="B248" s="4"/>
      <c r="C248" s="4" t="s">
        <v>502</v>
      </c>
      <c r="D248" s="4"/>
      <c r="E248" s="4" t="s">
        <v>497</v>
      </c>
      <c r="F248" s="4" t="s">
        <v>497</v>
      </c>
      <c r="G248" s="4" t="s">
        <v>497</v>
      </c>
      <c r="H248" s="4"/>
      <c r="I248" s="4">
        <v>4387</v>
      </c>
      <c r="J248" s="4">
        <v>31.3</v>
      </c>
      <c r="K248" s="4" t="s">
        <v>498</v>
      </c>
      <c r="L248" s="4" t="s">
        <v>503</v>
      </c>
    </row>
    <row r="249" spans="1:12" ht="69.95" customHeight="1">
      <c r="A249" s="3" t="s">
        <v>479</v>
      </c>
      <c r="B249" s="4"/>
      <c r="C249" s="4" t="s">
        <v>502</v>
      </c>
      <c r="D249" s="4"/>
      <c r="E249" s="4" t="s">
        <v>497</v>
      </c>
      <c r="F249" s="4" t="s">
        <v>497</v>
      </c>
      <c r="G249" s="4" t="s">
        <v>497</v>
      </c>
      <c r="H249" s="4"/>
      <c r="I249" s="4">
        <v>149500</v>
      </c>
      <c r="J249" s="4">
        <v>130.4</v>
      </c>
      <c r="K249" s="4" t="s">
        <v>498</v>
      </c>
      <c r="L249" s="4" t="s">
        <v>499</v>
      </c>
    </row>
  </sheetData>
  <mergeCells count="2">
    <mergeCell ref="A1:L2"/>
    <mergeCell ref="A3:L3"/>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7"/>
  <sheetViews>
    <sheetView showGridLines="0" workbookViewId="0">
      <pane ySplit="1" topLeftCell="A2" activePane="bottomLeft" state="frozen"/>
      <selection pane="bottomLeft"/>
    </sheetView>
  </sheetViews>
  <sheetFormatPr defaultRowHeight="15"/>
  <cols>
    <col min="1" max="1" width="29" customWidth="1"/>
    <col min="2" max="2" width="115" customWidth="1"/>
  </cols>
  <sheetData>
    <row r="1" spans="1:2" ht="35.1" customHeight="1">
      <c r="A1" s="9" t="s">
        <v>652</v>
      </c>
      <c r="B1" s="9" t="s">
        <v>653</v>
      </c>
    </row>
    <row r="2" spans="1:2" ht="69.95" customHeight="1">
      <c r="A2" s="10" t="s">
        <v>11</v>
      </c>
      <c r="B2" s="8" t="s">
        <v>654</v>
      </c>
    </row>
    <row r="3" spans="1:2" ht="69.95" customHeight="1">
      <c r="A3" s="10" t="s">
        <v>655</v>
      </c>
      <c r="B3" s="8" t="s">
        <v>656</v>
      </c>
    </row>
    <row r="4" spans="1:2" ht="69.95" customHeight="1">
      <c r="A4" s="10" t="s">
        <v>657</v>
      </c>
      <c r="B4" s="8" t="s">
        <v>658</v>
      </c>
    </row>
    <row r="5" spans="1:2" ht="69.95" customHeight="1">
      <c r="A5" s="10" t="s">
        <v>659</v>
      </c>
      <c r="B5" s="8" t="s">
        <v>660</v>
      </c>
    </row>
    <row r="6" spans="1:2" ht="69.95" customHeight="1">
      <c r="A6" s="10" t="s">
        <v>661</v>
      </c>
      <c r="B6" s="8" t="s">
        <v>662</v>
      </c>
    </row>
    <row r="7" spans="1:2" ht="69.95" customHeight="1">
      <c r="A7" s="10" t="s">
        <v>663</v>
      </c>
      <c r="B7" s="8" t="s">
        <v>664</v>
      </c>
    </row>
    <row r="8" spans="1:2" ht="69.95" customHeight="1">
      <c r="A8" s="10" t="s">
        <v>665</v>
      </c>
      <c r="B8" s="8" t="s">
        <v>666</v>
      </c>
    </row>
    <row r="9" spans="1:2" ht="69.95" customHeight="1">
      <c r="A9" s="10" t="s">
        <v>667</v>
      </c>
      <c r="B9" s="8" t="s">
        <v>668</v>
      </c>
    </row>
    <row r="10" spans="1:2" ht="69.95" customHeight="1">
      <c r="A10" s="10" t="s">
        <v>669</v>
      </c>
      <c r="B10" s="8" t="s">
        <v>670</v>
      </c>
    </row>
    <row r="11" spans="1:2" ht="69.95" customHeight="1">
      <c r="A11" s="10" t="s">
        <v>671</v>
      </c>
      <c r="B11" s="8" t="s">
        <v>672</v>
      </c>
    </row>
    <row r="12" spans="1:2" ht="69.95" customHeight="1">
      <c r="A12" s="10" t="s">
        <v>673</v>
      </c>
      <c r="B12" s="8" t="s">
        <v>674</v>
      </c>
    </row>
    <row r="13" spans="1:2" ht="69.95" customHeight="1">
      <c r="A13" s="10" t="s">
        <v>675</v>
      </c>
      <c r="B13" s="8" t="s">
        <v>676</v>
      </c>
    </row>
    <row r="14" spans="1:2" ht="69.95" customHeight="1">
      <c r="A14" s="10" t="s">
        <v>677</v>
      </c>
      <c r="B14" s="8" t="s">
        <v>678</v>
      </c>
    </row>
    <row r="15" spans="1:2" ht="69.95" customHeight="1">
      <c r="A15" s="10" t="s">
        <v>679</v>
      </c>
      <c r="B15" s="8" t="s">
        <v>680</v>
      </c>
    </row>
    <row r="16" spans="1:2" ht="69.95" customHeight="1">
      <c r="A16" s="10" t="s">
        <v>681</v>
      </c>
      <c r="B16" s="8" t="s">
        <v>682</v>
      </c>
    </row>
    <row r="17" spans="1:2" ht="69.95" customHeight="1">
      <c r="A17" s="10" t="s">
        <v>683</v>
      </c>
      <c r="B17" s="8" t="s">
        <v>684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Quintanar Pascual, Álvaro</cp:lastModifiedBy>
  <cp:revision/>
  <dcterms:created xsi:type="dcterms:W3CDTF">2026-09-13T20:28:16Z</dcterms:created>
  <dcterms:modified xsi:type="dcterms:W3CDTF">2026-09-13T20:28:16Z</dcterms:modified>
  <cp:category/>
  <cp:contentStatus/>
</cp:coreProperties>
</file>